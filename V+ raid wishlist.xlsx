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shlist" sheetId="1" r:id="rId5"/>
    <sheet state="visible" name="Inactive wishlists" sheetId="2" r:id="rId6"/>
    <sheet state="visible" name="ZG Reserves v2" sheetId="3" r:id="rId7"/>
    <sheet state="visible" name="Alt List" sheetId="4" r:id="rId8"/>
    <sheet state="hidden" name="Won Wishlisted Items" sheetId="5" r:id="rId9"/>
    <sheet state="hidden" name="All Won Items" sheetId="6" r:id="rId10"/>
    <sheet state="hidden" name="Acquired Recipes" sheetId="7" r:id="rId11"/>
    <sheet state="visible" name="zg_data" sheetId="8" r:id="rId12"/>
    <sheet state="visible" name="ZG reserves_old" sheetId="9" r:id="rId13"/>
  </sheets>
  <definedNames>
    <definedName hidden="1" localSheetId="0" name="_xlnm._FilterDatabase">Wishlist!$A$1:$F$71</definedName>
    <definedName hidden="1" localSheetId="2" name="_xlnm._FilterDatabase">'ZG Reserves v2'!$B$2:$J$200</definedName>
    <definedName hidden="1" localSheetId="4" name="_xlnm._FilterDatabase">'Won Wishlisted Items'!$A$1:$C$145</definedName>
    <definedName hidden="1" localSheetId="5" name="_xlnm._FilterDatabase">'All Won Items'!$A$1:$D$242</definedName>
    <definedName hidden="1" localSheetId="6" name="_xlnm._FilterDatabase">'Acquired Recipes'!$A$1:$C$14</definedName>
  </definedNames>
  <calcPr/>
</workbook>
</file>

<file path=xl/sharedStrings.xml><?xml version="1.0" encoding="utf-8"?>
<sst xmlns="http://schemas.openxmlformats.org/spreadsheetml/2006/main" count="2416" uniqueCount="798">
  <si>
    <t>Main</t>
  </si>
  <si>
    <t>Alt(s)</t>
  </si>
  <si>
    <t>Lokiy</t>
  </si>
  <si>
    <t>Danan</t>
  </si>
  <si>
    <t>Xyratris</t>
  </si>
  <si>
    <t>Udolamin</t>
  </si>
  <si>
    <t>Tuhar</t>
  </si>
  <si>
    <t>Hobe</t>
  </si>
  <si>
    <t>Zumva</t>
  </si>
  <si>
    <t>Karyn</t>
  </si>
  <si>
    <t>Owned Trinket Pieces (and want to complete)</t>
  </si>
  <si>
    <t>Satine</t>
  </si>
  <si>
    <t>priest alt</t>
  </si>
  <si>
    <t>Kocherga</t>
  </si>
  <si>
    <t>Lutherening</t>
  </si>
  <si>
    <t>Tick</t>
  </si>
  <si>
    <t>Hamel?</t>
  </si>
  <si>
    <t>Rist</t>
  </si>
  <si>
    <t>Tosco</t>
  </si>
  <si>
    <t>Saintmoon</t>
  </si>
  <si>
    <t>Kreyvon</t>
  </si>
  <si>
    <t>Legion</t>
  </si>
  <si>
    <t>Kalipso</t>
  </si>
  <si>
    <t>Hsaru</t>
  </si>
  <si>
    <t>Name</t>
  </si>
  <si>
    <t>Ashdeena</t>
  </si>
  <si>
    <t>Zankz</t>
  </si>
  <si>
    <t>Passim</t>
  </si>
  <si>
    <t>rogue alt</t>
  </si>
  <si>
    <t>Norppa</t>
  </si>
  <si>
    <t>Boss</t>
  </si>
  <si>
    <t>Noorppa</t>
  </si>
  <si>
    <t>Kouli</t>
  </si>
  <si>
    <t>Reserve Item</t>
  </si>
  <si>
    <t>Yobachidu</t>
  </si>
  <si>
    <t>Repeat?</t>
  </si>
  <si>
    <t>Raynn</t>
  </si>
  <si>
    <t>Xita</t>
  </si>
  <si>
    <t>Gri'lek</t>
  </si>
  <si>
    <t>Wizdom</t>
  </si>
  <si>
    <t>Bonedolier</t>
  </si>
  <si>
    <t>Hazza'rah</t>
  </si>
  <si>
    <t>Xalton</t>
  </si>
  <si>
    <t>Renataki</t>
  </si>
  <si>
    <t>Ccb</t>
  </si>
  <si>
    <t>Wushoolay</t>
  </si>
  <si>
    <t>Zolgend</t>
  </si>
  <si>
    <t>Yasuke</t>
  </si>
  <si>
    <t>Gendirector</t>
  </si>
  <si>
    <t>Cuckoo</t>
  </si>
  <si>
    <t>Player</t>
  </si>
  <si>
    <t>Cassandra</t>
  </si>
  <si>
    <t>Zibazoo</t>
  </si>
  <si>
    <t>#1</t>
  </si>
  <si>
    <t>Zibadin</t>
  </si>
  <si>
    <t>Zibapew</t>
  </si>
  <si>
    <t>Imbaladin</t>
  </si>
  <si>
    <t>#2</t>
  </si>
  <si>
    <t>#3</t>
  </si>
  <si>
    <t>Xykyta</t>
  </si>
  <si>
    <t>status</t>
  </si>
  <si>
    <t>Iridium</t>
  </si>
  <si>
    <t>Mcgonagall</t>
  </si>
  <si>
    <t>Wonderboy</t>
  </si>
  <si>
    <t>#4</t>
  </si>
  <si>
    <t>#5</t>
  </si>
  <si>
    <t>Orcitoslocos</t>
  </si>
  <si>
    <t>Maevis</t>
  </si>
  <si>
    <t>Baxul</t>
  </si>
  <si>
    <t>Verzu</t>
  </si>
  <si>
    <t>Zloun</t>
  </si>
  <si>
    <t>Franshals</t>
  </si>
  <si>
    <t>Janmijtens</t>
  </si>
  <si>
    <t>Karelappel</t>
  </si>
  <si>
    <t>Rachelrusche</t>
  </si>
  <si>
    <t>Ignu</t>
  </si>
  <si>
    <t>Striker's Mark Sarc</t>
  </si>
  <si>
    <t>Altdorf</t>
  </si>
  <si>
    <t>Head of Onyxia (horde) Sarc</t>
  </si>
  <si>
    <t>Plaque</t>
  </si>
  <si>
    <t>Coolguyxp</t>
  </si>
  <si>
    <t>Fiery Claws Sarc</t>
  </si>
  <si>
    <t>Arlokk</t>
  </si>
  <si>
    <t>MIA</t>
  </si>
  <si>
    <t>Ygor</t>
  </si>
  <si>
    <t>Shroud of the Supreme</t>
  </si>
  <si>
    <t>Mokhra</t>
  </si>
  <si>
    <t>Tome of Arcane Missiles VIII</t>
  </si>
  <si>
    <t>Chachakka</t>
  </si>
  <si>
    <t>Deathinjune</t>
  </si>
  <si>
    <t>Bangy</t>
  </si>
  <si>
    <t>Tufftuff</t>
  </si>
  <si>
    <t>Overlord's Onyx Band</t>
  </si>
  <si>
    <t>Lovedeath</t>
  </si>
  <si>
    <t>Partigiano</t>
  </si>
  <si>
    <t>Batonrouge</t>
  </si>
  <si>
    <t>Sawtooth Talisman</t>
  </si>
  <si>
    <t>Boudan</t>
  </si>
  <si>
    <t>Hypergear</t>
  </si>
  <si>
    <t>Quick Strike Ring</t>
  </si>
  <si>
    <t>Tuhall</t>
  </si>
  <si>
    <t>Melted Breastplate</t>
  </si>
  <si>
    <t>Molten Grips</t>
  </si>
  <si>
    <t>Knyght</t>
  </si>
  <si>
    <t>Weirdal</t>
  </si>
  <si>
    <t>shaman alt</t>
  </si>
  <si>
    <t>mage alt</t>
  </si>
  <si>
    <t>Sognard</t>
  </si>
  <si>
    <t>Colla</t>
  </si>
  <si>
    <t>Fastfoodz</t>
  </si>
  <si>
    <t>Voodooboy</t>
  </si>
  <si>
    <t>Bayinnilmaz</t>
  </si>
  <si>
    <t>Melted Breastplate Voodooboy</t>
  </si>
  <si>
    <t>Melted Helmet Voodooboy</t>
  </si>
  <si>
    <t>Wisher</t>
  </si>
  <si>
    <t>Orb of Chaotic Elements</t>
  </si>
  <si>
    <t>Molten Grips Voodooboy</t>
  </si>
  <si>
    <t>Doyouknow</t>
  </si>
  <si>
    <t>Melted Legplates Voodooboy</t>
  </si>
  <si>
    <t>Depredation</t>
  </si>
  <si>
    <t>Chidchaba</t>
  </si>
  <si>
    <t>Thaila</t>
  </si>
  <si>
    <t>Khanviction</t>
  </si>
  <si>
    <t>MS</t>
  </si>
  <si>
    <t>Dragora</t>
  </si>
  <si>
    <t>Maggy</t>
  </si>
  <si>
    <t>Dystopia</t>
  </si>
  <si>
    <t>Drake fang Talisman</t>
  </si>
  <si>
    <t>Rylai</t>
  </si>
  <si>
    <t>Onslaught Girdle</t>
  </si>
  <si>
    <t>Vanix</t>
  </si>
  <si>
    <t>Blackthunder</t>
  </si>
  <si>
    <t>Epicl</t>
  </si>
  <si>
    <t>Lashlayer's Signet</t>
  </si>
  <si>
    <t>Ring of Suffering</t>
  </si>
  <si>
    <t>Bonereaver's Edge</t>
  </si>
  <si>
    <t>Ascended</t>
  </si>
  <si>
    <t>Alexxandros</t>
  </si>
  <si>
    <t>Polar</t>
  </si>
  <si>
    <t>Onslaught Girdle Polar</t>
  </si>
  <si>
    <t>Quick Strike Ring Polar</t>
  </si>
  <si>
    <t>Sawtooth Talisman Polar</t>
  </si>
  <si>
    <t>Quit</t>
  </si>
  <si>
    <t>Striker's Mark Polar</t>
  </si>
  <si>
    <t>Dark Heart Pants</t>
  </si>
  <si>
    <t>Grizzly Fur Pelerine</t>
  </si>
  <si>
    <t>Shamomile</t>
  </si>
  <si>
    <t>Imbalance</t>
  </si>
  <si>
    <t>Ashjre'thul, Crossbow of Smithing (Murderer)</t>
  </si>
  <si>
    <t>Heavy Dark Iron Ring</t>
  </si>
  <si>
    <t>Inactive</t>
  </si>
  <si>
    <t>Faberge</t>
  </si>
  <si>
    <t>Combat Parser Interface V150r</t>
  </si>
  <si>
    <t>Maladath, Runed Blade of the Black Flight</t>
  </si>
  <si>
    <t xml:space="preserve">Elementium Echo Modulator </t>
  </si>
  <si>
    <t xml:space="preserve">Styleen's Impeding Scarab </t>
  </si>
  <si>
    <t xml:space="preserve">Essence of the Pure Flame </t>
  </si>
  <si>
    <t>Feral</t>
  </si>
  <si>
    <t>Amoroso</t>
  </si>
  <si>
    <t>Motajo</t>
  </si>
  <si>
    <t>Panther Hide Sack</t>
  </si>
  <si>
    <t>Medallion of Steadfast Might</t>
  </si>
  <si>
    <t>Color Codes:</t>
  </si>
  <si>
    <t>Melted Helmet</t>
  </si>
  <si>
    <t>Drillborer Disk</t>
  </si>
  <si>
    <t>Melted Bindings</t>
  </si>
  <si>
    <t>Drake fang Talisman Tufftuff</t>
  </si>
  <si>
    <t>Ashes of Destruction Depredation</t>
  </si>
  <si>
    <t>Hypergear Tufftuff</t>
  </si>
  <si>
    <t>Charred Tunic Tufftuff</t>
  </si>
  <si>
    <t>Garmosh</t>
  </si>
  <si>
    <t>Charred Legguards Tufftuff</t>
  </si>
  <si>
    <t>Azus</t>
  </si>
  <si>
    <t>Reactive Auto-Recaster (Questhero)</t>
  </si>
  <si>
    <t>Azus' Arrow Launcher</t>
  </si>
  <si>
    <t>Frostynewbie</t>
  </si>
  <si>
    <t>Signet of Unlimited Power</t>
  </si>
  <si>
    <t>Maladath (Ronald)</t>
  </si>
  <si>
    <t>Bonereaver's Edge (Ronald)</t>
  </si>
  <si>
    <t>Silithid Claw</t>
  </si>
  <si>
    <t>Serbius</t>
  </si>
  <si>
    <t>DPS</t>
  </si>
  <si>
    <t>Green = Not contested</t>
  </si>
  <si>
    <t>Melted Breastplate (Chidchaba)</t>
  </si>
  <si>
    <t>Fireproof Cloak</t>
  </si>
  <si>
    <t>Crown of Destruction (Chidchaba)</t>
  </si>
  <si>
    <t>Charred Spaulders (Dragora)</t>
  </si>
  <si>
    <t>Fiery Claws (Dragora)</t>
  </si>
  <si>
    <t>Antikvar</t>
  </si>
  <si>
    <t>Ashjre'thul, Crossbow of Smiting</t>
  </si>
  <si>
    <t>Shadowstrike</t>
  </si>
  <si>
    <t>Ufodriver</t>
  </si>
  <si>
    <t>Charred Tunic</t>
  </si>
  <si>
    <t>Deathbringer</t>
  </si>
  <si>
    <t>Band of Accuria Deathinjune</t>
  </si>
  <si>
    <t>Spiked Carapace Fragment Gribojor</t>
  </si>
  <si>
    <t>Scaled Sand Reaver Leggings Gribojor</t>
  </si>
  <si>
    <t>Ranged</t>
  </si>
  <si>
    <t>Emerald Dragonfang</t>
  </si>
  <si>
    <t>Yellow = Contested</t>
  </si>
  <si>
    <t>Zoorro</t>
  </si>
  <si>
    <t>Puissant Cape</t>
  </si>
  <si>
    <t>Drape of Benediction</t>
  </si>
  <si>
    <t>Rejuvenating Gem</t>
  </si>
  <si>
    <t>Band of Sulfuras</t>
  </si>
  <si>
    <t>Boots of Pure Thought</t>
  </si>
  <si>
    <t>The Untamed Blade</t>
  </si>
  <si>
    <t>Blazefury Medallion</t>
  </si>
  <si>
    <t>Nukem</t>
  </si>
  <si>
    <t>Item</t>
  </si>
  <si>
    <t>Cold Snap</t>
  </si>
  <si>
    <t>Snowblind Shoes</t>
  </si>
  <si>
    <t>Shard of the Flame</t>
  </si>
  <si>
    <t>Busy</t>
  </si>
  <si>
    <t>Winner (person)</t>
  </si>
  <si>
    <t>Date</t>
  </si>
  <si>
    <t>Retri</t>
  </si>
  <si>
    <t>Trance Stone</t>
  </si>
  <si>
    <t>Ring of Entropy</t>
  </si>
  <si>
    <t>Rheedd</t>
  </si>
  <si>
    <t>Soul Shard Pendant</t>
  </si>
  <si>
    <t>Red = Item is in a higher column</t>
  </si>
  <si>
    <t>Mark of Thirst</t>
  </si>
  <si>
    <t>Band of Forced Concentration</t>
  </si>
  <si>
    <t>Seal of the Archmagus</t>
  </si>
  <si>
    <t>Lookup wishlisted Items</t>
  </si>
  <si>
    <t>Person</t>
  </si>
  <si>
    <t>Wishlisted Items won</t>
  </si>
  <si>
    <t>Selenana</t>
  </si>
  <si>
    <t>Puissant Cape Zloun</t>
  </si>
  <si>
    <t>Hederine Shackles</t>
  </si>
  <si>
    <t>Ring of Suffering Zloun</t>
  </si>
  <si>
    <t>Band of Accuria Zloun</t>
  </si>
  <si>
    <t>Berserker Blood Sample</t>
  </si>
  <si>
    <t>Arcane Infused Gem Zloun</t>
  </si>
  <si>
    <t>Elementium Reinforced Bulwark</t>
  </si>
  <si>
    <t>coolguyxp</t>
  </si>
  <si>
    <t>Charred Headpiece</t>
  </si>
  <si>
    <t>Ashkandi</t>
  </si>
  <si>
    <t>Aged Core Leather Gloves (+daggers)</t>
  </si>
  <si>
    <t>Write name here ---&gt;</t>
  </si>
  <si>
    <t>Head of Onyxia (horde)</t>
  </si>
  <si>
    <t>Vis'kag the Bloodletter</t>
  </si>
  <si>
    <t>Eggmorphing</t>
  </si>
  <si>
    <t>Elementium Echo Modulator</t>
  </si>
  <si>
    <t>Golden Ceremonial Bloodletter (MH)</t>
  </si>
  <si>
    <t>waiting</t>
  </si>
  <si>
    <t>Quick Strike Ring Ygor</t>
  </si>
  <si>
    <t>Onyxia Hide Backpack Ygor</t>
  </si>
  <si>
    <t>Perdition's Blade Ygor</t>
  </si>
  <si>
    <t>Aged Core Leather Gloves (fist) Ygor</t>
  </si>
  <si>
    <t>Tank</t>
  </si>
  <si>
    <t>Blastershot Launcher Sognard</t>
  </si>
  <si>
    <t>Striker's Mark Sognard</t>
  </si>
  <si>
    <t>Accuria Band Sognard</t>
  </si>
  <si>
    <t>Charred Bindings</t>
  </si>
  <si>
    <t>Wild Growth Spaulders Chainheala</t>
  </si>
  <si>
    <t>Golden Ceremonial Bloodletter (OH)</t>
  </si>
  <si>
    <t>Sathite</t>
  </si>
  <si>
    <t>Styleen's Impeding Scarab</t>
  </si>
  <si>
    <t>Melted Pauldrons</t>
  </si>
  <si>
    <t>Quick Strike Ring Lovedeath</t>
  </si>
  <si>
    <t>Quick Strike Ring (Maggy)</t>
  </si>
  <si>
    <t>Obsidian Edged Blade Lovedeath</t>
  </si>
  <si>
    <t>Cauterizing Band Lovedeath</t>
  </si>
  <si>
    <t>Melted Helmet Lovedeath</t>
  </si>
  <si>
    <t>Deathbringer (Moonglave)</t>
  </si>
  <si>
    <t>Naprimer</t>
  </si>
  <si>
    <t>Helm of Sacrifice</t>
  </si>
  <si>
    <t>Bracers of Arcane Accuracy</t>
  </si>
  <si>
    <t>Blacklight Bracer</t>
  </si>
  <si>
    <t>Shadow Wing Focus Staff</t>
  </si>
  <si>
    <t>Burnt Bindings</t>
  </si>
  <si>
    <t>Mancho</t>
  </si>
  <si>
    <t>Burnt Shoulderpads</t>
  </si>
  <si>
    <t>Melted Legplates</t>
  </si>
  <si>
    <t>Bax</t>
  </si>
  <si>
    <t>Drake Fang Talisman</t>
  </si>
  <si>
    <t>Aurastone Hammer</t>
  </si>
  <si>
    <t>Steeljaw</t>
  </si>
  <si>
    <t>Fang of the Mystics</t>
  </si>
  <si>
    <t>Band of Accuria</t>
  </si>
  <si>
    <t>Flayed Doomguard Belt</t>
  </si>
  <si>
    <t>Maladath</t>
  </si>
  <si>
    <t>Brybry</t>
  </si>
  <si>
    <t>Thick Silithid Chestguard</t>
  </si>
  <si>
    <t>Hammer of Beastial Fury</t>
  </si>
  <si>
    <t>Earthshaker</t>
  </si>
  <si>
    <t>Deathwishc</t>
  </si>
  <si>
    <t>Krein</t>
  </si>
  <si>
    <t>Fel Infused Leggings</t>
  </si>
  <si>
    <t>Other</t>
  </si>
  <si>
    <t>Blindcripple</t>
  </si>
  <si>
    <t>Core Hound Tooth</t>
  </si>
  <si>
    <t>Dimzi</t>
  </si>
  <si>
    <t>Idol</t>
  </si>
  <si>
    <t>Obsidian Edged Blade</t>
  </si>
  <si>
    <t>Flameguard Gauntlets</t>
  </si>
  <si>
    <t>Striker's Mark</t>
  </si>
  <si>
    <t>Perdition's Blade</t>
  </si>
  <si>
    <t>Sharp Bone of the Sand Reaver</t>
  </si>
  <si>
    <t>Necriel</t>
  </si>
  <si>
    <t>Sayaad Wings</t>
  </si>
  <si>
    <t>Charred Legguards</t>
  </si>
  <si>
    <t>Inactive?</t>
  </si>
  <si>
    <t>Hdrezka</t>
  </si>
  <si>
    <t>Essence of the Pure Flame</t>
  </si>
  <si>
    <t>Folle</t>
  </si>
  <si>
    <t>Boots of the Fallen Hero</t>
  </si>
  <si>
    <t>Hakkar</t>
  </si>
  <si>
    <t>Zin'rokh, Destroyer of World</t>
  </si>
  <si>
    <t>Hellrage</t>
  </si>
  <si>
    <t>Scabrite Axe</t>
  </si>
  <si>
    <t>Insta</t>
  </si>
  <si>
    <t>Willingtodie</t>
  </si>
  <si>
    <t>Azuresong Mageblade</t>
  </si>
  <si>
    <t>Gahz'ranka</t>
  </si>
  <si>
    <t>Feral DPS</t>
  </si>
  <si>
    <t>Nat Pagle's Broken Reel</t>
  </si>
  <si>
    <t>Jambee</t>
  </si>
  <si>
    <t>Fiery Claws</t>
  </si>
  <si>
    <t>Salamander Scale Pants</t>
  </si>
  <si>
    <t>Everhot Choker</t>
  </si>
  <si>
    <t>Aegis of the Blood God</t>
  </si>
  <si>
    <t>Kwuh</t>
  </si>
  <si>
    <t>Pure Elementium Band</t>
  </si>
  <si>
    <t>Ring of Spell Power</t>
  </si>
  <si>
    <t>Shroud of Pure Thought</t>
  </si>
  <si>
    <t>Pricklypear</t>
  </si>
  <si>
    <t>Robe of Volatile Power</t>
  </si>
  <si>
    <t>Swiftbloom</t>
  </si>
  <si>
    <t>Kpacubo</t>
  </si>
  <si>
    <t>Eye of Divinity</t>
  </si>
  <si>
    <t>Gronn</t>
  </si>
  <si>
    <t>Loue</t>
  </si>
  <si>
    <t>Lok'amir il Romathis</t>
  </si>
  <si>
    <t>Castaspela</t>
  </si>
  <si>
    <t>Reactive Auto-Recaster</t>
  </si>
  <si>
    <t>Ring of the Diplomat</t>
  </si>
  <si>
    <t>Outsane</t>
  </si>
  <si>
    <t>Melted Legplates (Outsane)</t>
  </si>
  <si>
    <t>Pov</t>
  </si>
  <si>
    <t>Heal</t>
  </si>
  <si>
    <t>Head of Onyxia (Horde)</t>
  </si>
  <si>
    <t>Rudo</t>
  </si>
  <si>
    <t>Brutality Blade</t>
  </si>
  <si>
    <t>Chocolanza</t>
  </si>
  <si>
    <t>Claw of Molten Fury</t>
  </si>
  <si>
    <t>Ancient Hakkari Manslayer</t>
  </si>
  <si>
    <t>Idol of Wilderness</t>
  </si>
  <si>
    <t>Sylean</t>
  </si>
  <si>
    <t>Tepka</t>
  </si>
  <si>
    <t>Feral Tank</t>
  </si>
  <si>
    <t>Saac</t>
  </si>
  <si>
    <t>Mind Quickening gem</t>
  </si>
  <si>
    <t>Trekoer</t>
  </si>
  <si>
    <t>Primalist's Linked Legguards</t>
  </si>
  <si>
    <t>Clycer</t>
  </si>
  <si>
    <t>Empyrean Demolisher</t>
  </si>
  <si>
    <t>Vorakk</t>
  </si>
  <si>
    <t>Blastershot Launcher</t>
  </si>
  <si>
    <t>Enh</t>
  </si>
  <si>
    <t>Lifegiving Gem</t>
  </si>
  <si>
    <t>Zatar</t>
  </si>
  <si>
    <t>Barbed Choker</t>
  </si>
  <si>
    <t>Doom's Edge</t>
  </si>
  <si>
    <t>Oleforsby</t>
  </si>
  <si>
    <t>Coldblood</t>
  </si>
  <si>
    <t>Gubonix Equilibrium Core</t>
  </si>
  <si>
    <t>Demonic Claw</t>
  </si>
  <si>
    <t>Moragil</t>
  </si>
  <si>
    <t>Polished Ironwood Crossbow</t>
  </si>
  <si>
    <t>Helm of Endless Rage</t>
  </si>
  <si>
    <t>Cloak of Consumption</t>
  </si>
  <si>
    <t>Naheul</t>
  </si>
  <si>
    <t>Drake Talon Cleaver</t>
  </si>
  <si>
    <t>Cloak of Draconic Might</t>
  </si>
  <si>
    <t>Zeezee</t>
  </si>
  <si>
    <t>Sosah</t>
  </si>
  <si>
    <t>Cremation</t>
  </si>
  <si>
    <t>Dragon's Touch</t>
  </si>
  <si>
    <t>Sonush</t>
  </si>
  <si>
    <t>Gnomage</t>
  </si>
  <si>
    <t>Crystal Adorned Crown</t>
  </si>
  <si>
    <t>The Eye of Divinity</t>
  </si>
  <si>
    <t>Dragon's Blood Cape</t>
  </si>
  <si>
    <t>Oblivion</t>
  </si>
  <si>
    <t>Sayaad Wings (Oblivion)</t>
  </si>
  <si>
    <t>Petrified Scarab (Oblivion)</t>
  </si>
  <si>
    <t>Laz</t>
  </si>
  <si>
    <t>Strikedood</t>
  </si>
  <si>
    <t>Cyclones</t>
  </si>
  <si>
    <t>Nettle</t>
  </si>
  <si>
    <t>Spiked Caraspace Fragment</t>
  </si>
  <si>
    <t>Kicker</t>
  </si>
  <si>
    <t>Heart of Hakkar</t>
  </si>
  <si>
    <t>Angelista's Grasp</t>
  </si>
  <si>
    <t>Fire Runed Grimoire</t>
  </si>
  <si>
    <t>Malakos</t>
  </si>
  <si>
    <t>Shadow</t>
  </si>
  <si>
    <t>The Eye of Hakkar</t>
  </si>
  <si>
    <t>Esparanta</t>
  </si>
  <si>
    <t>Gloves of Delusional Power</t>
  </si>
  <si>
    <t>Macho</t>
  </si>
  <si>
    <t>Shard of the Scale</t>
  </si>
  <si>
    <t>Burnt Leggings (Bonedolier)</t>
  </si>
  <si>
    <t>Sincinnsin</t>
  </si>
  <si>
    <t>Herald of Woe</t>
  </si>
  <si>
    <t>Hermit</t>
  </si>
  <si>
    <t>Barb of the Sand Reaver</t>
  </si>
  <si>
    <t>Old Calico Hood</t>
  </si>
  <si>
    <t>Relic Cleaver</t>
  </si>
  <si>
    <t>Auto-Aim Goggles SMark 2</t>
  </si>
  <si>
    <t>Zamka</t>
  </si>
  <si>
    <t>Wristguards of True Flight</t>
  </si>
  <si>
    <t>Ubetraydalaw</t>
  </si>
  <si>
    <t>Jeklik</t>
  </si>
  <si>
    <t>Primalist's Band</t>
  </si>
  <si>
    <t>Shrouds of Pure Thought</t>
  </si>
  <si>
    <t>Sawtooth Talisman (Eggmorphing)</t>
  </si>
  <si>
    <t>Drake Fang Talisman (Eggmorphing)</t>
  </si>
  <si>
    <t>Dixie</t>
  </si>
  <si>
    <t>Ring of Master [Maces] (Eggmorphing)</t>
  </si>
  <si>
    <t>Green Dragonskin Cloak</t>
  </si>
  <si>
    <t>Frost</t>
  </si>
  <si>
    <t>Jin'do</t>
  </si>
  <si>
    <t>Burnt Hood</t>
  </si>
  <si>
    <t>Jin'do's Bag of Whammies</t>
  </si>
  <si>
    <t>Gnomosek</t>
  </si>
  <si>
    <t>Faenie</t>
  </si>
  <si>
    <t>Neltharion's Tear</t>
  </si>
  <si>
    <t>World Breaker</t>
  </si>
  <si>
    <t>Ashes of Destruction</t>
  </si>
  <si>
    <t>Staff of the Shadow Flame</t>
  </si>
  <si>
    <t>Arcane</t>
  </si>
  <si>
    <t>Ashes of Destruction Fastfoodz</t>
  </si>
  <si>
    <t>Burnt Robe Fastfoodz</t>
  </si>
  <si>
    <t>Goodmorning</t>
  </si>
  <si>
    <t>Corz</t>
  </si>
  <si>
    <t>Protection</t>
  </si>
  <si>
    <t>Loveandwar</t>
  </si>
  <si>
    <t>Jin'do's Evil Eye</t>
  </si>
  <si>
    <t>Halmar</t>
  </si>
  <si>
    <t>Onyxia Hide Backpack</t>
  </si>
  <si>
    <t>Crul'shorukh, Edge of Chaos</t>
  </si>
  <si>
    <t>Orah</t>
  </si>
  <si>
    <t>Ring of Master [Fists]</t>
  </si>
  <si>
    <t>Ring of Bindings</t>
  </si>
  <si>
    <t>Druiderella</t>
  </si>
  <si>
    <t>Will of Arlokk</t>
  </si>
  <si>
    <t>Sadsun</t>
  </si>
  <si>
    <t>Jin'do's Judgement</t>
  </si>
  <si>
    <t>Prestor's Talisman of Connivery</t>
  </si>
  <si>
    <t>Bindings of the Windseeker</t>
  </si>
  <si>
    <t>Aged Core Leather Gloves [Swords]</t>
  </si>
  <si>
    <t>Hamel</t>
  </si>
  <si>
    <t>Apacha</t>
  </si>
  <si>
    <t>Overlord's Embrace</t>
  </si>
  <si>
    <t>Itron</t>
  </si>
  <si>
    <t>Fetish of the Sand Reaver</t>
  </si>
  <si>
    <t>Madness</t>
  </si>
  <si>
    <t>Head of Nefarian [H]</t>
  </si>
  <si>
    <t>Trinket Component (0/4)</t>
  </si>
  <si>
    <t>Kamazxx</t>
  </si>
  <si>
    <t>Scarbrite Axe</t>
  </si>
  <si>
    <t>Mandokir</t>
  </si>
  <si>
    <t>Bloodlord's Defender</t>
  </si>
  <si>
    <t>Heckate</t>
  </si>
  <si>
    <t>Halberd of Smiting</t>
  </si>
  <si>
    <t>Mana Igniting Cord</t>
  </si>
  <si>
    <t>Burnt Robe</t>
  </si>
  <si>
    <t>Dwarfission</t>
  </si>
  <si>
    <t>Hypergear (Karyn)</t>
  </si>
  <si>
    <t>Break</t>
  </si>
  <si>
    <t>Band of Accuria (Khanviction)</t>
  </si>
  <si>
    <t>Grizzly Fur Peleine</t>
  </si>
  <si>
    <t>Primalist's Seal</t>
  </si>
  <si>
    <t>Swift Razzashi Raptor</t>
  </si>
  <si>
    <t>Ring of Accuria</t>
  </si>
  <si>
    <t>Idol of Health</t>
  </si>
  <si>
    <t>Beefoo</t>
  </si>
  <si>
    <t>Warblade of the Hakkari(OH)</t>
  </si>
  <si>
    <t>Chromatically Tempered Sword</t>
  </si>
  <si>
    <t>Zanzil's Seal</t>
  </si>
  <si>
    <t>Boots of the Shadow Flame</t>
  </si>
  <si>
    <t>Cliffer</t>
  </si>
  <si>
    <t>Aged Core Leather Gloves [Fists]</t>
  </si>
  <si>
    <t>Sword spec (TF)</t>
  </si>
  <si>
    <t>Dotterific</t>
  </si>
  <si>
    <t>Signet of Unlimited Power (Lleeggiioonn)</t>
  </si>
  <si>
    <t>Claw of Molten Fury (Kreyvon)</t>
  </si>
  <si>
    <t>Mar'li</t>
  </si>
  <si>
    <t>Charred Tunic (Kalipso)</t>
  </si>
  <si>
    <t>Band of Jin</t>
  </si>
  <si>
    <t>CH</t>
  </si>
  <si>
    <t>Rearpoker</t>
  </si>
  <si>
    <t>Kukuruza</t>
  </si>
  <si>
    <t>Technician's X-Ray Spectacles</t>
  </si>
  <si>
    <t>Lazard</t>
  </si>
  <si>
    <t>Ring of Master (fists)</t>
  </si>
  <si>
    <t>Tolkushka</t>
  </si>
  <si>
    <t>Chromatic Boots</t>
  </si>
  <si>
    <t>Marli's Touch</t>
  </si>
  <si>
    <t>Mish'undare, Circlet of the Mind Flayer</t>
  </si>
  <si>
    <t>Ancient Petrified Leaf</t>
  </si>
  <si>
    <t>Bijou</t>
  </si>
  <si>
    <t>Jassy</t>
  </si>
  <si>
    <t>Fist of Molten Fury</t>
  </si>
  <si>
    <t>Hot Claws</t>
  </si>
  <si>
    <t>Minkie</t>
  </si>
  <si>
    <t>Sarc</t>
  </si>
  <si>
    <t>Blooddrenched Mask</t>
  </si>
  <si>
    <t>Essence of Pure Flame</t>
  </si>
  <si>
    <t>Drake Fang Talisman (Egdod)</t>
  </si>
  <si>
    <t>Band of Accuria (Egdod)</t>
  </si>
  <si>
    <t>Ring of Suffering (Egdod)</t>
  </si>
  <si>
    <t>Malavon</t>
  </si>
  <si>
    <t>Moonglave</t>
  </si>
  <si>
    <t>Shimmering Geta</t>
  </si>
  <si>
    <t>Marxx</t>
  </si>
  <si>
    <t>Thekal</t>
  </si>
  <si>
    <t>Molkerei</t>
  </si>
  <si>
    <t>Seal of Jin</t>
  </si>
  <si>
    <t>Morgravez</t>
  </si>
  <si>
    <t>Swift Zulian Tiger</t>
  </si>
  <si>
    <t>Arcane Infused Gem</t>
  </si>
  <si>
    <t>Nobuddy</t>
  </si>
  <si>
    <t>Bankofboudan</t>
  </si>
  <si>
    <t>Maladath, Ruined Blade of the Black Flight</t>
  </si>
  <si>
    <t>Blazefury Medallion (Hy)</t>
  </si>
  <si>
    <t>Crul'shorukh, Edge of Chaos (Norppa)</t>
  </si>
  <si>
    <t>Fist of Molten Fury (Norppa)</t>
  </si>
  <si>
    <t>Barbed Choker (Norppa)</t>
  </si>
  <si>
    <t>Choker of the Fire Lord</t>
  </si>
  <si>
    <t>Thekal's Grasp</t>
  </si>
  <si>
    <t>Verandan</t>
  </si>
  <si>
    <t>Venoxis</t>
  </si>
  <si>
    <t>Fang of Venoxis</t>
  </si>
  <si>
    <t>Xaoc</t>
  </si>
  <si>
    <t>Vendormage</t>
  </si>
  <si>
    <t>Zanzil's Band</t>
  </si>
  <si>
    <t>Paincuck</t>
  </si>
  <si>
    <t>Palmetto</t>
  </si>
  <si>
    <t>Denacost</t>
  </si>
  <si>
    <t>Beautlock</t>
  </si>
  <si>
    <t>Zulian Tigerhide Cloak</t>
  </si>
  <si>
    <t>Tepate</t>
  </si>
  <si>
    <t>The Untamed Blade (Pricklypear)</t>
  </si>
  <si>
    <t>Rua</t>
  </si>
  <si>
    <t>Primal Hakkari Shawl</t>
  </si>
  <si>
    <t>Wishlisted?</t>
  </si>
  <si>
    <t>Ratso</t>
  </si>
  <si>
    <t>Qox</t>
  </si>
  <si>
    <t>Other Items</t>
  </si>
  <si>
    <t>Ragemage</t>
  </si>
  <si>
    <t>Bloodcaller</t>
  </si>
  <si>
    <t>Band of Entropy</t>
  </si>
  <si>
    <t>Andrewtate</t>
  </si>
  <si>
    <t>Firemaw's Clutch</t>
  </si>
  <si>
    <t>Batonroute</t>
  </si>
  <si>
    <t>Spiked Carapace Fragment</t>
  </si>
  <si>
    <t>Wernerherzog</t>
  </si>
  <si>
    <t xml:space="preserve">Esparanta </t>
  </si>
  <si>
    <t>Dark Iron Nugget</t>
  </si>
  <si>
    <t>Betrayer's Boots</t>
  </si>
  <si>
    <t>Manastorm Leggings</t>
  </si>
  <si>
    <t>Wooshoolay</t>
  </si>
  <si>
    <t>Scyn</t>
  </si>
  <si>
    <t>Steals</t>
  </si>
  <si>
    <t>Petrified Scarab (Scyn)</t>
  </si>
  <si>
    <t>Eskhandar's Right Claw</t>
  </si>
  <si>
    <t>Sewerslvt</t>
  </si>
  <si>
    <t>Doomhide Gauntlets</t>
  </si>
  <si>
    <t>Charred Spaulders</t>
  </si>
  <si>
    <t>Shankerella</t>
  </si>
  <si>
    <t>Burkek</t>
  </si>
  <si>
    <t>Sieghadin</t>
  </si>
  <si>
    <t>Yes</t>
  </si>
  <si>
    <t>Tirohtar</t>
  </si>
  <si>
    <t>Sorcerous Dagger</t>
  </si>
  <si>
    <t>Pure Elementium Band (Kocherga)</t>
  </si>
  <si>
    <t>Seal of the Archmagus (Tolkushka)</t>
  </si>
  <si>
    <t>Chainheala</t>
  </si>
  <si>
    <t>Ring of Master [1h Mace]</t>
  </si>
  <si>
    <t>Crimson Shocker</t>
  </si>
  <si>
    <t>Drake Fang Talisman (Yasuke)</t>
  </si>
  <si>
    <t>Prestor's Talisman of Connivery (Yasuke)</t>
  </si>
  <si>
    <t>Ring of Suffering (Yasuke)</t>
  </si>
  <si>
    <t>Toughened Silithid Hide Gloves</t>
  </si>
  <si>
    <t>Medallion of Steadfast Might (pass tank)</t>
  </si>
  <si>
    <t>Nunya</t>
  </si>
  <si>
    <t>Chronomirage</t>
  </si>
  <si>
    <t>Personal Harm Prevention Field Emitter</t>
  </si>
  <si>
    <t>Band of Accuria (Tazdingi)</t>
  </si>
  <si>
    <t>Ring of Suffering (Tazdingi)</t>
  </si>
  <si>
    <t>Shadowstrike (Tazdingi)</t>
  </si>
  <si>
    <t>Cauterizing Band</t>
  </si>
  <si>
    <t>Core Forged Greaves</t>
  </si>
  <si>
    <t>Ragnaros Core of the Monkey</t>
  </si>
  <si>
    <t>Norppa/Boudan</t>
  </si>
  <si>
    <t>Cliffer(?)</t>
  </si>
  <si>
    <t>Aged Core Leather Gloves (+4Mace)</t>
  </si>
  <si>
    <t>Narain's Scrying Goggles</t>
  </si>
  <si>
    <t>Sabatons of the Flamewalker</t>
  </si>
  <si>
    <t>Buurnt Shoulderpads</t>
  </si>
  <si>
    <t>Dark Iron Ring</t>
  </si>
  <si>
    <t>Rolled</t>
  </si>
  <si>
    <t>Obsidian Shard</t>
  </si>
  <si>
    <t>Narain Scrying Goggles</t>
  </si>
  <si>
    <t>Surtr's Belt</t>
  </si>
  <si>
    <t>Ronald</t>
  </si>
  <si>
    <t>Ragnaros Core</t>
  </si>
  <si>
    <t>Choker of the Firelord</t>
  </si>
  <si>
    <t>Spinal Reaper</t>
  </si>
  <si>
    <t>Unmelting Ice Girdle</t>
  </si>
  <si>
    <t>Typhoon</t>
  </si>
  <si>
    <t>Winner</t>
  </si>
  <si>
    <t>Formula: Enchant Gloves - Superior Agility</t>
  </si>
  <si>
    <t>Pattern: Bottomless Bag</t>
  </si>
  <si>
    <t>Dragonfang Blade</t>
  </si>
  <si>
    <t>Formula: Enchant Cloak - Stealth</t>
  </si>
  <si>
    <t>Spineshatter</t>
  </si>
  <si>
    <t>Plans: Elemental Sharpening Stone</t>
  </si>
  <si>
    <t>Schematic: Biznicks 247x148 Accurascope</t>
  </si>
  <si>
    <t>Recipe: Major Rejuvenation Potion</t>
  </si>
  <si>
    <t>Formula: Enchant Weapon - Spell Power</t>
  </si>
  <si>
    <t>Oilrag Cape</t>
  </si>
  <si>
    <t>Formula: Enchant Gloves - Healing Power</t>
  </si>
  <si>
    <t>The Sawblade</t>
  </si>
  <si>
    <t>Formula: Enchant Gloves - Frost Power</t>
  </si>
  <si>
    <t>Pattern: Core Armor KIt</t>
  </si>
  <si>
    <t>Pattern: Core Felcloth Bag</t>
  </si>
  <si>
    <t>Black Brood Pauldrons</t>
  </si>
  <si>
    <t>Heartstriker</t>
  </si>
  <si>
    <t>Essence Gatherer</t>
  </si>
  <si>
    <t>Cloak of Firemaw</t>
  </si>
  <si>
    <t>Shard of the Fallen Star</t>
  </si>
  <si>
    <t>Sand Scaled Reaver Leggings</t>
  </si>
  <si>
    <t>zNone</t>
  </si>
  <si>
    <t>Jeklik's Crusher</t>
  </si>
  <si>
    <t>Runed Bloodstained Hauberk</t>
  </si>
  <si>
    <t>Flowing Ritual Robes</t>
  </si>
  <si>
    <t>Dragonbone Wristguards</t>
  </si>
  <si>
    <t>Foror's Eyepatch</t>
  </si>
  <si>
    <t>Arlokk's Grasp</t>
  </si>
  <si>
    <t>Bloodseeker Shoulders</t>
  </si>
  <si>
    <t>No Reserve</t>
  </si>
  <si>
    <t>Jeklik's Opaline Talisman</t>
  </si>
  <si>
    <t>Mendicant's Slippers</t>
  </si>
  <si>
    <t>Mandokir's Sting</t>
  </si>
  <si>
    <t>Trinket Component (1/4)</t>
  </si>
  <si>
    <t>Nat Pagle's Fish Terminator</t>
  </si>
  <si>
    <t>No Reserve Yet</t>
  </si>
  <si>
    <t>Animist's Spaulders</t>
  </si>
  <si>
    <t>Talisman of Protection</t>
  </si>
  <si>
    <t>Trinket Component (2/4)</t>
  </si>
  <si>
    <t>Madokamagica</t>
  </si>
  <si>
    <t>Bloodsoaked Greaves</t>
  </si>
  <si>
    <t>Jin'do's Hexxer</t>
  </si>
  <si>
    <t>Seafury Gauntlets</t>
  </si>
  <si>
    <t>Ancient Golden Crown</t>
  </si>
  <si>
    <t>Gurubashi Helm</t>
  </si>
  <si>
    <t>Seafury Boots</t>
  </si>
  <si>
    <t>Blooddrenched Footpads</t>
  </si>
  <si>
    <t>Bloodstained Greaves</t>
  </si>
  <si>
    <t>Trinket Component (3/4)</t>
  </si>
  <si>
    <t>Hederine Whipping Belt</t>
  </si>
  <si>
    <t>Tigule's Harpoon</t>
  </si>
  <si>
    <t>Ritualistic Legguards</t>
  </si>
  <si>
    <t>Peacekeeper Gauntlets</t>
  </si>
  <si>
    <t>Staff of the Swampwalker</t>
  </si>
  <si>
    <t>Shadow Panther Hide Gloves</t>
  </si>
  <si>
    <t>Peacekeeper Boots</t>
  </si>
  <si>
    <t>Fiery Retributer</t>
  </si>
  <si>
    <t>Tome of Polymorph: Turtle</t>
  </si>
  <si>
    <t>Seafury Leggings</t>
  </si>
  <si>
    <t>Arlokk's Hoodoo Stick</t>
  </si>
  <si>
    <t>Diplomat's Ring</t>
  </si>
  <si>
    <t>The Hexxer's Cover</t>
  </si>
  <si>
    <t>Bloodsoaked Legplates</t>
  </si>
  <si>
    <t>Glove of Cure</t>
  </si>
  <si>
    <t>Shadow Panther HIde Belt</t>
  </si>
  <si>
    <t>Zulian Stone Axe</t>
  </si>
  <si>
    <t>Mar'li's Eye</t>
  </si>
  <si>
    <t>Bloodsoaked Pauldrons</t>
  </si>
  <si>
    <t>Gri'lek's Grinder</t>
  </si>
  <si>
    <t>Peacekeeper Leggings</t>
  </si>
  <si>
    <t>Cloak of Untold Secrets</t>
  </si>
  <si>
    <t>Bloodstained Coif</t>
  </si>
  <si>
    <t>Soul Corrupters Necklace</t>
  </si>
  <si>
    <t>Friendly Hand</t>
  </si>
  <si>
    <t>Zulian Hacker</t>
  </si>
  <si>
    <t>Zulian Defender</t>
  </si>
  <si>
    <t>Hakkari Loa Cloak</t>
  </si>
  <si>
    <t>Gri'lek's Carver</t>
  </si>
  <si>
    <t>Jinxed Bone Splinter</t>
  </si>
  <si>
    <t>Sceptre of Smiting</t>
  </si>
  <si>
    <t>Blooddrenched Grips</t>
  </si>
  <si>
    <t>Thoughtblighter</t>
  </si>
  <si>
    <t>Zulian Slicer</t>
  </si>
  <si>
    <t>Bloodtinged Gloves</t>
  </si>
  <si>
    <t>Touch of Chaos</t>
  </si>
  <si>
    <t>Ancient Bone Dagger</t>
  </si>
  <si>
    <t>Zulian Ceremonial Staff</t>
  </si>
  <si>
    <t>Bloodtinged Kilt</t>
  </si>
  <si>
    <t>Ranataki's Soul Conduit</t>
  </si>
  <si>
    <t>Bloodsoaked Gauntlets</t>
  </si>
  <si>
    <t>Gurubashi Dwarf Destroyer</t>
  </si>
  <si>
    <t>Blood Scythe</t>
  </si>
  <si>
    <t>Animist's Leggings</t>
  </si>
  <si>
    <t>Pitchfork of Madness</t>
  </si>
  <si>
    <t>Blooddrenched Leggings</t>
  </si>
  <si>
    <t>Band of Servitude</t>
  </si>
  <si>
    <t>Overlord's Crimson Band</t>
  </si>
  <si>
    <t>Hoodoo Hunting Bow</t>
  </si>
  <si>
    <t>Bloodstained Legplates</t>
  </si>
  <si>
    <t>Seal of the Gurubashi Berserker</t>
  </si>
  <si>
    <t>Wushoolay's Poker</t>
  </si>
  <si>
    <t>Animist's Boots</t>
  </si>
  <si>
    <t>Warblade of the Hakkari(MH)</t>
  </si>
  <si>
    <t>Zulian Headdress</t>
  </si>
  <si>
    <t>The Black Book</t>
  </si>
  <si>
    <t>DE</t>
  </si>
  <si>
    <t>Fang of the Faceless</t>
  </si>
  <si>
    <t>Cloak of the Hakkari Worshipers</t>
  </si>
  <si>
    <t>Might of the Tribe</t>
  </si>
  <si>
    <t>Gloves of the Tormented</t>
  </si>
  <si>
    <t>Sacrificial Gauntlets</t>
  </si>
  <si>
    <t>Belt of Untapped Power</t>
  </si>
  <si>
    <t>DE?</t>
  </si>
  <si>
    <t>Zulian Scepter of Rites</t>
  </si>
  <si>
    <t>Any item in GREEN is a blue which is added to the reserve dropdown.</t>
  </si>
  <si>
    <t>Draconic Maul</t>
  </si>
  <si>
    <t>Any item in RED is a blue which is NOT added to the reserve dropdown.</t>
  </si>
  <si>
    <t>Any item in PURPLE is a purple which is added to the reserve dropdown.</t>
  </si>
  <si>
    <t>Any item in BLUE is a special blue item which is added to the reserve dropdown.</t>
  </si>
  <si>
    <t>Band of Dark Dominion</t>
  </si>
  <si>
    <t>Obtained?</t>
  </si>
  <si>
    <t>notes</t>
  </si>
  <si>
    <t>Blooddrenced Mask</t>
  </si>
  <si>
    <t>Any High Priest</t>
  </si>
  <si>
    <t>Tazdingi</t>
  </si>
  <si>
    <t>Azus Arrow Launcher</t>
  </si>
  <si>
    <t>Memespec</t>
  </si>
  <si>
    <t>Golden Ceremonial Bloodletter MH</t>
  </si>
  <si>
    <t>Golden Ceremonial Bloodletter OH</t>
  </si>
  <si>
    <t>Fifochka</t>
  </si>
  <si>
    <t>Golden Ceremonial Letter OH</t>
  </si>
  <si>
    <t>Burnt Leggings</t>
  </si>
  <si>
    <t>Bloodseeker's Shoulderguards</t>
  </si>
  <si>
    <t>Gloves of the Hypnotic Flame</t>
  </si>
  <si>
    <t>Fireguard Shoulders</t>
  </si>
  <si>
    <t>Berserker's Blood Sample</t>
  </si>
  <si>
    <t>Bat</t>
  </si>
  <si>
    <t>Sash of Whispered Secrets</t>
  </si>
  <si>
    <t>Ragnaros Core of the Wolf</t>
  </si>
  <si>
    <t>BoE</t>
  </si>
  <si>
    <t>Broken Reel</t>
  </si>
  <si>
    <t>Tuhar**Maggy wants it through ticket</t>
  </si>
  <si>
    <t>Toughened Silithid Gloves</t>
  </si>
  <si>
    <t>Wavefront Necklace</t>
  </si>
  <si>
    <t>Abyssal Cloth Wristbands of Restoration</t>
  </si>
  <si>
    <t>Zin'rokh, Destroyer of Worlds</t>
  </si>
  <si>
    <t>Abyssal Mail Wristguards of Striking</t>
  </si>
  <si>
    <t>Acid Inscribed Greaves</t>
  </si>
  <si>
    <t>Black Bark Wristbands</t>
  </si>
  <si>
    <t>Zin'Rokh, Destroyer of Worlds</t>
  </si>
  <si>
    <t>Eskhandar's Collar</t>
  </si>
  <si>
    <t>Head of Onyxia (Alliance)</t>
  </si>
  <si>
    <t>destroyed</t>
  </si>
  <si>
    <t>Hibernation Crystal</t>
  </si>
  <si>
    <t>Gloves of Rapid Evolution</t>
  </si>
  <si>
    <t>Mantle of the Blackwing Cabal</t>
  </si>
  <si>
    <t>Mind Quickening Gem</t>
  </si>
  <si>
    <t>Jindo's Judgement</t>
  </si>
  <si>
    <t>Black Brood Shoulders</t>
  </si>
  <si>
    <t>Jindo's Evil Eye</t>
  </si>
  <si>
    <t>Claw of the Black Drake</t>
  </si>
  <si>
    <t>Jin'dos Evil Eye</t>
  </si>
  <si>
    <t>Alhazred</t>
  </si>
  <si>
    <t>Ring of Master (+56 atk power +4 polearm)</t>
  </si>
  <si>
    <t>Nameless Hermit</t>
  </si>
  <si>
    <t>Eskhandar's Pelt</t>
  </si>
  <si>
    <t>Panther</t>
  </si>
  <si>
    <t>Gloves of the Immovable</t>
  </si>
  <si>
    <t>Staff of Rampant Growth</t>
  </si>
  <si>
    <t>Overlord Onyx Band</t>
  </si>
  <si>
    <t>Strangely Glyphed Legplates</t>
  </si>
  <si>
    <t>Helm of the Fallen Hero</t>
  </si>
  <si>
    <t>Raptor</t>
  </si>
  <si>
    <t>Primal Hakkari Armsplint</t>
  </si>
  <si>
    <t>Raptor mount</t>
  </si>
  <si>
    <t>Warblade of the Hakkari OH</t>
  </si>
  <si>
    <t>Several bosses</t>
  </si>
  <si>
    <t>Snake</t>
  </si>
  <si>
    <t>Spider</t>
  </si>
  <si>
    <t>Tiger</t>
  </si>
  <si>
    <t>Tiger 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</si>
</sst>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Lexend"/>
    </font>
    <font>
      <b/>
      <color rgb="FF000000"/>
      <name val="Arial"/>
      <scheme val="minor"/>
    </font>
    <font>
      <color theme="1"/>
      <name val="Lexend"/>
    </font>
    <font>
      <color rgb="FF000000"/>
      <name val="Arial"/>
      <scheme val="minor"/>
    </font>
    <font>
      <b/>
      <sz val="10.0"/>
      <color theme="1"/>
      <name val="Lexend"/>
    </font>
    <font>
      <sz val="10.0"/>
      <color theme="1"/>
      <name val="Lexend"/>
    </font>
    <font>
      <b/>
      <sz val="10.0"/>
      <color rgb="FF000000"/>
      <name val="Lexend"/>
    </font>
    <font>
      <b/>
      <color rgb="FF000000"/>
      <name val="Lexend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sz val="10.0"/>
      <color rgb="FF000000"/>
      <name val="Lexend"/>
    </font>
    <font>
      <strike/>
      <sz val="10.0"/>
      <color theme="1"/>
      <name val="Lexend"/>
    </font>
    <font>
      <color rgb="FF000000"/>
      <name val="Lexend"/>
    </font>
    <font>
      <b/>
      <sz val="8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CCCCCC"/>
        <bgColor rgb="FFCCCCCC"/>
      </patternFill>
    </fill>
  </fills>
  <borders count="27">
    <border/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dotted">
        <color rgb="FF000000"/>
      </right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FFFFFF"/>
      </right>
      <top style="medium">
        <color rgb="FFFFFFFF"/>
      </top>
      <bottom style="thin">
        <color rgb="FF000000"/>
      </bottom>
    </border>
    <border>
      <left style="medium">
        <color rgb="FFFFFFFF"/>
      </left>
      <right style="thin">
        <color rgb="FF000000"/>
      </right>
      <top style="medium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FFFFFF"/>
      </top>
      <bottom style="thin">
        <color rgb="FF000000"/>
      </bottom>
    </border>
    <border>
      <left style="medium">
        <color rgb="FFFFFFFF"/>
      </left>
      <right style="medium">
        <color rgb="FFFFFFFF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</border>
    <border>
      <left style="medium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FFFFFF"/>
      </left>
      <right style="medium">
        <color rgb="FFFFFFFF"/>
      </right>
      <top style="thin">
        <color rgb="FF000000"/>
      </top>
      <bottom style="medium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FFFFFF"/>
      </right>
      <top style="thin">
        <color rgb="FF000000"/>
      </top>
      <bottom style="medium">
        <color rgb="FFFFFFFF"/>
      </bottom>
    </border>
    <border>
      <bottom style="medium">
        <color rgb="FFFFFFFF"/>
      </bottom>
    </border>
    <border>
      <left style="medium">
        <color rgb="FFFFFFFF"/>
      </left>
      <right style="thin">
        <color rgb="FF000000"/>
      </right>
      <top style="thin">
        <color rgb="FF000000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FFFF"/>
      </bottom>
    </border>
    <border>
      <top style="medium">
        <color rgb="FFFFFFFF"/>
      </top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2" fontId="3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/>
    </xf>
    <xf borderId="4" fillId="3" fontId="5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4" fontId="6" numFmtId="0" xfId="0" applyAlignment="1" applyFill="1" applyFont="1">
      <alignment vertical="bottom"/>
    </xf>
    <xf borderId="5" fillId="5" fontId="5" numFmtId="0" xfId="0" applyAlignment="1" applyBorder="1" applyFill="1" applyFont="1">
      <alignment horizontal="center" readingOrder="0"/>
    </xf>
    <xf borderId="0" fillId="0" fontId="6" numFmtId="0" xfId="0" applyAlignment="1" applyFont="1">
      <alignment vertical="bottom"/>
    </xf>
    <xf borderId="6" fillId="5" fontId="5" numFmtId="0" xfId="0" applyAlignment="1" applyBorder="1" applyFont="1">
      <alignment horizontal="center" readingOrder="0"/>
    </xf>
    <xf borderId="7" fillId="5" fontId="7" numFmtId="0" xfId="0" applyBorder="1" applyFont="1"/>
    <xf borderId="0" fillId="0" fontId="8" numFmtId="0" xfId="0" applyAlignment="1" applyFont="1">
      <alignment horizontal="center" readingOrder="0" shrinkToFit="0" textRotation="0" vertical="center" wrapText="0"/>
    </xf>
    <xf borderId="8" fillId="5" fontId="7" numFmtId="0" xfId="0" applyBorder="1" applyFont="1"/>
    <xf borderId="9" fillId="5" fontId="7" numFmtId="0" xfId="0" applyBorder="1" applyFont="1"/>
    <xf borderId="0" fillId="0" fontId="9" numFmtId="0" xfId="0" applyAlignment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vertical="bottom"/>
    </xf>
    <xf borderId="10" fillId="3" fontId="5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 shrinkToFit="0" vertical="center" wrapText="0"/>
    </xf>
    <xf borderId="11" fillId="5" fontId="5" numFmtId="0" xfId="0" applyAlignment="1" applyBorder="1" applyFont="1">
      <alignment horizontal="center" readingOrder="0"/>
    </xf>
    <xf borderId="0" fillId="0" fontId="6" numFmtId="0" xfId="0" applyAlignment="1" applyFont="1">
      <alignment vertical="center"/>
    </xf>
    <xf borderId="12" fillId="5" fontId="5" numFmtId="0" xfId="0" applyAlignment="1" applyBorder="1" applyFont="1">
      <alignment horizontal="center" readingOrder="0"/>
    </xf>
    <xf borderId="13" fillId="5" fontId="7" numFmtId="0" xfId="0" applyBorder="1" applyFont="1"/>
    <xf borderId="14" fillId="5" fontId="7" numFmtId="0" xfId="0" applyBorder="1" applyFont="1"/>
    <xf borderId="15" fillId="5" fontId="7" numFmtId="0" xfId="0" applyBorder="1" applyFont="1"/>
    <xf borderId="0" fillId="0" fontId="6" numFmtId="0" xfId="0" applyAlignment="1" applyFont="1">
      <alignment readingOrder="0" vertical="bottom"/>
    </xf>
    <xf borderId="15" fillId="0" fontId="10" numFmtId="0" xfId="0" applyAlignment="1" applyBorder="1" applyFont="1">
      <alignment horizontal="center" readingOrder="0" shrinkToFit="0" textRotation="0" vertical="center" wrapText="0"/>
    </xf>
    <xf borderId="15" fillId="6" fontId="9" numFmtId="0" xfId="0" applyAlignment="1" applyBorder="1" applyFill="1" applyFont="1">
      <alignment horizontal="center" readingOrder="0" shrinkToFit="0" textRotation="0" vertical="center" wrapText="0"/>
    </xf>
    <xf borderId="15" fillId="6" fontId="9" numFmtId="0" xfId="0" applyAlignment="1" applyBorder="1" applyFont="1">
      <alignment horizontal="center" readingOrder="0" shrinkToFit="0" vertical="center" wrapText="0"/>
    </xf>
    <xf borderId="0" fillId="7" fontId="6" numFmtId="0" xfId="0" applyAlignment="1" applyFill="1" applyFont="1">
      <alignment readingOrder="0"/>
    </xf>
    <xf borderId="13" fillId="5" fontId="7" numFmtId="0" xfId="0" applyAlignment="1" applyBorder="1" applyFont="1">
      <alignment readingOrder="0"/>
    </xf>
    <xf borderId="15" fillId="0" fontId="9" numFmtId="0" xfId="0" applyAlignment="1" applyBorder="1" applyFont="1">
      <alignment horizontal="center" readingOrder="0" shrinkToFit="0" vertical="center" wrapText="0"/>
    </xf>
    <xf borderId="16" fillId="0" fontId="6" numFmtId="0" xfId="0" applyAlignment="1" applyBorder="1" applyFont="1">
      <alignment readingOrder="0" shrinkToFit="0" vertical="center" wrapText="0"/>
    </xf>
    <xf borderId="15" fillId="8" fontId="9" numFmtId="0" xfId="0" applyAlignment="1" applyBorder="1" applyFill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17" fillId="0" fontId="6" numFmtId="0" xfId="0" applyAlignment="1" applyBorder="1" applyFont="1">
      <alignment readingOrder="0" shrinkToFit="0" vertical="center" wrapText="0"/>
    </xf>
    <xf borderId="15" fillId="6" fontId="9" numFmtId="0" xfId="0" applyAlignment="1" applyBorder="1" applyFont="1">
      <alignment horizontal="center" readingOrder="0" vertical="center"/>
    </xf>
    <xf borderId="15" fillId="0" fontId="11" numFmtId="0" xfId="0" applyAlignment="1" applyBorder="1" applyFont="1">
      <alignment horizontal="center" readingOrder="0" shrinkToFit="0" textRotation="0" vertical="center" wrapText="0"/>
    </xf>
    <xf borderId="15" fillId="8" fontId="6" numFmtId="0" xfId="0" applyAlignment="1" applyBorder="1" applyFont="1">
      <alignment horizontal="center" readingOrder="0" shrinkToFit="0" vertical="center" wrapText="0"/>
    </xf>
    <xf borderId="15" fillId="0" fontId="6" numFmtId="0" xfId="0" applyAlignment="1" applyBorder="1" applyFont="1">
      <alignment horizontal="center" shrinkToFit="0" vertical="center" wrapText="0"/>
    </xf>
    <xf borderId="15" fillId="8" fontId="6" numFmtId="0" xfId="0" applyAlignment="1" applyBorder="1" applyFont="1">
      <alignment horizontal="center" readingOrder="0" vertical="center"/>
    </xf>
    <xf borderId="0" fillId="2" fontId="2" numFmtId="0" xfId="0" applyAlignment="1" applyFont="1">
      <alignment readingOrder="0"/>
    </xf>
    <xf borderId="0" fillId="0" fontId="12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shrinkToFit="0" vertical="bottom" wrapText="0"/>
    </xf>
    <xf borderId="15" fillId="9" fontId="9" numFmtId="0" xfId="0" applyAlignment="1" applyBorder="1" applyFill="1" applyFont="1">
      <alignment horizontal="center" readingOrder="0" vertical="center"/>
    </xf>
    <xf borderId="0" fillId="0" fontId="13" numFmtId="164" xfId="0" applyAlignment="1" applyFont="1" applyNumberFormat="1">
      <alignment shrinkToFit="0" vertical="bottom" wrapText="0"/>
    </xf>
    <xf borderId="0" fillId="0" fontId="14" numFmtId="0" xfId="0" applyAlignment="1" applyFont="1">
      <alignment readingOrder="0"/>
    </xf>
    <xf borderId="15" fillId="0" fontId="10" numFmtId="0" xfId="0" applyAlignment="1" applyBorder="1" applyFont="1">
      <alignment horizontal="center" shrinkToFit="0" textRotation="0" vertical="center" wrapText="0"/>
    </xf>
    <xf borderId="15" fillId="9" fontId="9" numFmtId="0" xfId="0" applyAlignment="1" applyBorder="1" applyFont="1">
      <alignment horizontal="center" readingOrder="0" shrinkToFit="0" vertical="center" wrapText="0"/>
    </xf>
    <xf borderId="0" fillId="0" fontId="1" numFmtId="0" xfId="0" applyFont="1"/>
    <xf borderId="15" fillId="5" fontId="7" numFmtId="0" xfId="0" applyAlignment="1" applyBorder="1" applyFont="1">
      <alignment readingOrder="0"/>
    </xf>
    <xf borderId="0" fillId="0" fontId="13" numFmtId="0" xfId="0" applyAlignment="1" applyFont="1">
      <alignment readingOrder="0" shrinkToFit="0" vertical="bottom" wrapText="0"/>
    </xf>
    <xf borderId="3" fillId="0" fontId="4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15" fillId="0" fontId="8" numFmtId="0" xfId="0" applyAlignment="1" applyBorder="1" applyFont="1">
      <alignment horizontal="left" readingOrder="0"/>
    </xf>
    <xf borderId="15" fillId="0" fontId="15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readingOrder="0" textRotation="0" vertical="center"/>
    </xf>
    <xf borderId="15" fillId="0" fontId="9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shrinkToFit="0" vertical="center" wrapText="0"/>
    </xf>
    <xf borderId="15" fillId="6" fontId="9" numFmtId="0" xfId="0" applyAlignment="1" applyBorder="1" applyFont="1">
      <alignment horizontal="center" readingOrder="0" shrinkToFit="0" vertical="center" wrapText="1"/>
    </xf>
    <xf borderId="0" fillId="10" fontId="6" numFmtId="0" xfId="0" applyAlignment="1" applyFill="1" applyFont="1">
      <alignment readingOrder="0"/>
    </xf>
    <xf borderId="15" fillId="6" fontId="6" numFmtId="0" xfId="0" applyAlignment="1" applyBorder="1" applyFont="1">
      <alignment horizontal="center" readingOrder="0" shrinkToFit="0" vertical="center" wrapText="0"/>
    </xf>
    <xf borderId="15" fillId="9" fontId="6" numFmtId="0" xfId="0" applyAlignment="1" applyBorder="1" applyFont="1">
      <alignment horizontal="center" readingOrder="0" shrinkToFit="0" vertical="center" wrapText="0"/>
    </xf>
    <xf borderId="15" fillId="8" fontId="6" numFmtId="0" xfId="0" applyAlignment="1" applyBorder="1" applyFont="1">
      <alignment horizontal="center" shrinkToFit="0" vertical="center" wrapText="0"/>
    </xf>
    <xf borderId="17" fillId="0" fontId="6" numFmtId="0" xfId="0" applyBorder="1" applyFont="1"/>
    <xf borderId="15" fillId="0" fontId="6" numFmtId="0" xfId="0" applyAlignment="1" applyBorder="1" applyFont="1">
      <alignment horizontal="center" readingOrder="0" shrinkToFit="0" vertical="center" wrapText="0"/>
    </xf>
    <xf borderId="18" fillId="0" fontId="6" numFmtId="0" xfId="0" applyAlignment="1" applyBorder="1" applyFont="1">
      <alignment shrinkToFit="0" vertical="center" wrapText="0"/>
    </xf>
    <xf borderId="15" fillId="0" fontId="16" numFmtId="0" xfId="0" applyAlignment="1" applyBorder="1" applyFont="1">
      <alignment horizontal="center" readingOrder="0" shrinkToFit="0" vertical="center" wrapText="0"/>
    </xf>
    <xf borderId="15" fillId="0" fontId="10" numFmtId="0" xfId="0" applyAlignment="1" applyBorder="1" applyFont="1">
      <alignment horizontal="center" textRotation="0" vertical="center"/>
    </xf>
    <xf borderId="17" fillId="0" fontId="6" numFmtId="0" xfId="0" applyAlignment="1" applyBorder="1" applyFont="1">
      <alignment readingOrder="0"/>
    </xf>
    <xf borderId="15" fillId="8" fontId="9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shrinkToFit="0" textRotation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13" fillId="5" fontId="7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17" fillId="0" fontId="6" numFmtId="0" xfId="0" applyAlignment="1" applyBorder="1" applyFont="1">
      <alignment shrinkToFit="0" vertical="bottom" wrapText="0"/>
    </xf>
    <xf borderId="15" fillId="0" fontId="9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13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3" fillId="0" fontId="4" numFmtId="0" xfId="0" applyAlignment="1" applyBorder="1" applyFont="1">
      <alignment horizontal="center"/>
    </xf>
    <xf borderId="17" fillId="0" fontId="6" numFmtId="0" xfId="0" applyAlignment="1" applyBorder="1" applyFont="1">
      <alignment readingOrder="0" shrinkToFit="0" vertical="bottom" wrapText="0"/>
    </xf>
    <xf borderId="14" fillId="5" fontId="7" numFmtId="0" xfId="0" applyAlignment="1" applyBorder="1" applyFont="1">
      <alignment readingOrder="0"/>
    </xf>
    <xf borderId="15" fillId="6" fontId="6" numFmtId="0" xfId="0" applyAlignment="1" applyBorder="1" applyFont="1">
      <alignment horizontal="center" shrinkToFit="0" vertical="center" wrapText="0"/>
    </xf>
    <xf borderId="17" fillId="0" fontId="13" numFmtId="0" xfId="0" applyAlignment="1" applyBorder="1" applyFont="1">
      <alignment readingOrder="0" shrinkToFit="0" vertical="bottom" wrapText="0"/>
    </xf>
    <xf borderId="15" fillId="0" fontId="11" numFmtId="0" xfId="0" applyAlignment="1" applyBorder="1" applyFont="1">
      <alignment horizontal="center" shrinkToFit="0" textRotation="0" vertical="center" wrapText="0"/>
    </xf>
    <xf borderId="15" fillId="0" fontId="13" numFmtId="0" xfId="0" applyAlignment="1" applyBorder="1" applyFont="1">
      <alignment shrinkToFit="0" vertical="center" wrapText="0"/>
    </xf>
    <xf borderId="17" fillId="0" fontId="13" numFmtId="0" xfId="0" applyAlignment="1" applyBorder="1" applyFont="1">
      <alignment shrinkToFit="0" vertical="bottom" wrapText="0"/>
    </xf>
    <xf borderId="0" fillId="0" fontId="13" numFmtId="0" xfId="0" applyAlignment="1" applyFont="1">
      <alignment vertical="bottom"/>
    </xf>
    <xf borderId="11" fillId="5" fontId="5" numFmtId="0" xfId="0" applyAlignment="1" applyBorder="1" applyFont="1">
      <alignment horizontal="center"/>
    </xf>
    <xf borderId="0" fillId="0" fontId="13" numFmtId="0" xfId="0" applyAlignment="1" applyFont="1">
      <alignment shrinkToFit="0" vertical="bottom" wrapText="0"/>
    </xf>
    <xf borderId="10" fillId="3" fontId="5" numFmtId="0" xfId="0" applyAlignment="1" applyBorder="1" applyFont="1">
      <alignment horizontal="center"/>
    </xf>
    <xf borderId="12" fillId="5" fontId="5" numFmtId="0" xfId="0" applyAlignment="1" applyBorder="1" applyFont="1">
      <alignment horizontal="center"/>
    </xf>
    <xf borderId="0" fillId="0" fontId="4" numFmtId="0" xfId="0" applyAlignment="1" applyFont="1">
      <alignment horizontal="center" readingOrder="0" textRotation="0" vertical="center"/>
    </xf>
    <xf borderId="0" fillId="0" fontId="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19" fillId="3" fontId="5" numFmtId="0" xfId="0" applyAlignment="1" applyBorder="1" applyFont="1">
      <alignment horizontal="center"/>
    </xf>
    <xf borderId="20" fillId="5" fontId="5" numFmtId="0" xfId="0" applyAlignment="1" applyBorder="1" applyFont="1">
      <alignment horizontal="center"/>
    </xf>
    <xf borderId="21" fillId="5" fontId="5" numFmtId="0" xfId="0" applyAlignment="1" applyBorder="1" applyFont="1">
      <alignment horizontal="center"/>
    </xf>
    <xf borderId="22" fillId="5" fontId="7" numFmtId="0" xfId="0" applyBorder="1" applyFont="1"/>
    <xf borderId="23" fillId="2" fontId="2" numFmtId="0" xfId="0" applyBorder="1" applyFont="1"/>
    <xf borderId="24" fillId="5" fontId="7" numFmtId="0" xfId="0" applyBorder="1" applyFont="1"/>
    <xf borderId="25" fillId="5" fontId="7" numFmtId="0" xfId="0" applyBorder="1" applyFont="1"/>
    <xf borderId="26" fillId="2" fontId="2" numFmtId="0" xfId="0" applyBorder="1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11" fontId="12" numFmtId="0" xfId="0" applyAlignment="1" applyFill="1" applyFont="1">
      <alignment vertical="bottom"/>
    </xf>
    <xf borderId="0" fillId="11" fontId="12" numFmtId="0" xfId="0" applyAlignment="1" applyFont="1">
      <alignment readingOrder="0" vertical="bottom"/>
    </xf>
    <xf borderId="0" fillId="11" fontId="13" numFmtId="0" xfId="0" applyAlignment="1" applyFont="1">
      <alignment vertical="bottom"/>
    </xf>
    <xf borderId="0" fillId="12" fontId="18" numFmtId="0" xfId="0" applyAlignment="1" applyFill="1" applyFont="1">
      <alignment horizontal="center" vertical="bottom"/>
    </xf>
    <xf borderId="0" fillId="13" fontId="18" numFmtId="0" xfId="0" applyAlignment="1" applyFill="1" applyFont="1">
      <alignment horizontal="center" vertical="bottom"/>
    </xf>
    <xf borderId="0" fillId="14" fontId="13" numFmtId="0" xfId="0" applyAlignment="1" applyFill="1" applyFont="1">
      <alignment vertical="bottom"/>
    </xf>
    <xf borderId="0" fillId="7" fontId="18" numFmtId="0" xfId="0" applyAlignment="1" applyFont="1">
      <alignment horizontal="center" vertical="bottom"/>
    </xf>
    <xf borderId="0" fillId="4" fontId="18" numFmtId="0" xfId="0" applyAlignment="1" applyFont="1">
      <alignment horizontal="center" vertical="bottom"/>
    </xf>
    <xf borderId="0" fillId="15" fontId="13" numFmtId="0" xfId="0" applyAlignment="1" applyFill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6"/>
          <bgColor theme="6"/>
        </patternFill>
      </fill>
      <border/>
    </dxf>
  </dxfs>
  <tableStyles count="5">
    <tableStyle count="2" pivot="0" name="Inactive wishlists-style">
      <tableStyleElement dxfId="1" type="firstRowStripe"/>
      <tableStyleElement dxfId="3" type="secondRowStripe"/>
    </tableStyle>
    <tableStyle count="4" pivot="0" name="Wishlist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Won Wishlisted Items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All Won Items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Acquired Recipes-style">
      <tableStyleElement dxfId="2" type="headerRow"/>
      <tableStyleElement dxfId="1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1" displayName="Wishlist" name="Wishlist" id="2">
  <autoFilter ref="$A$1:$F$71"/>
  <tableColumns count="6">
    <tableColumn name="Name" id="1"/>
    <tableColumn name="#1" id="2"/>
    <tableColumn name="#2" id="3"/>
    <tableColumn name="#3" id="4"/>
    <tableColumn name="status" id="5"/>
    <tableColumn name="MS" id="6"/>
  </tableColumns>
  <tableStyleInfo name="Wish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A31:G7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active wishlists-style" showColumnStripes="0" showFirstColumn="1" showLastColumn="1" showRowStripes="1"/>
</table>
</file>

<file path=xl/tables/table3.xml><?xml version="1.0" encoding="utf-8"?>
<table xmlns="http://schemas.openxmlformats.org/spreadsheetml/2006/main" ref="A1:C145" displayName="Raid_Item_Drops" name="Raid_Item_Drops" id="3">
  <autoFilter ref="$A$1:$C$145"/>
  <tableColumns count="3">
    <tableColumn name="Item" id="1"/>
    <tableColumn name="Winner (person)" id="2"/>
    <tableColumn name="Date" id="3"/>
  </tableColumns>
  <tableStyleInfo name="Won Wishlisted Items-style" showColumnStripes="0" showFirstColumn="1" showLastColumn="1" showRowStripes="1"/>
</table>
</file>

<file path=xl/tables/table4.xml><?xml version="1.0" encoding="utf-8"?>
<table xmlns="http://schemas.openxmlformats.org/spreadsheetml/2006/main" ref="A1:D242" displayName="Raid_Item_Drops_2" name="Raid_Item_Drops_2" id="4">
  <autoFilter ref="$A$1:$D$242"/>
  <tableColumns count="4">
    <tableColumn name="Item" id="1"/>
    <tableColumn name="Winner (person)" id="2"/>
    <tableColumn name="Wishlisted?" id="3"/>
    <tableColumn name="Date" id="4"/>
  </tableColumns>
  <tableStyleInfo name="All Won Items-style" showColumnStripes="0" showFirstColumn="1" showLastColumn="1" showRowStripes="1"/>
</table>
</file>

<file path=xl/tables/table5.xml><?xml version="1.0" encoding="utf-8"?>
<table xmlns="http://schemas.openxmlformats.org/spreadsheetml/2006/main" ref="A1:C14" displayName="Recipes" name="Recipes" id="5">
  <autoFilter ref="$A$1:$C$14"/>
  <tableColumns count="3">
    <tableColumn name="Item" id="1"/>
    <tableColumn name="Winner" id="2"/>
    <tableColumn name="Date" id="3"/>
  </tableColumns>
  <tableStyleInfo name="Acquired Recip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31.38"/>
    <col customWidth="1" min="3" max="3" width="37.63"/>
    <col customWidth="1" min="4" max="4" width="31.38"/>
    <col customWidth="1" min="5" max="5" width="16.88"/>
    <col customWidth="1" min="6" max="7" width="24.13"/>
    <col customWidth="1" min="8" max="8" width="34.0"/>
  </cols>
  <sheetData>
    <row r="1" ht="22.5" customHeight="1">
      <c r="A1" s="18" t="s">
        <v>24</v>
      </c>
      <c r="B1" s="21" t="s">
        <v>53</v>
      </c>
      <c r="C1" s="21" t="s">
        <v>57</v>
      </c>
      <c r="D1" s="21" t="s">
        <v>58</v>
      </c>
      <c r="E1" s="21" t="s">
        <v>60</v>
      </c>
      <c r="F1" s="24" t="s">
        <v>123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ht="22.5" customHeight="1">
      <c r="A2" s="32" t="s">
        <v>137</v>
      </c>
      <c r="B2" s="33" t="s">
        <v>144</v>
      </c>
      <c r="C2" s="34" t="s">
        <v>145</v>
      </c>
      <c r="D2" s="34" t="s">
        <v>149</v>
      </c>
      <c r="E2" s="37"/>
      <c r="F2" s="38" t="s">
        <v>157</v>
      </c>
      <c r="G2" s="12"/>
      <c r="H2" s="9" t="s">
        <v>162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22.5" customHeight="1">
      <c r="A3" s="32" t="s">
        <v>77</v>
      </c>
      <c r="B3" s="39" t="s">
        <v>173</v>
      </c>
      <c r="C3" s="39" t="s">
        <v>177</v>
      </c>
      <c r="D3" s="34" t="s">
        <v>178</v>
      </c>
      <c r="E3" s="37"/>
      <c r="F3" s="42" t="s">
        <v>181</v>
      </c>
      <c r="G3" s="12"/>
      <c r="H3" s="43" t="s">
        <v>182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22.5" customHeight="1">
      <c r="A4" s="44" t="s">
        <v>188</v>
      </c>
      <c r="B4" s="45" t="s">
        <v>189</v>
      </c>
      <c r="C4" s="45" t="s">
        <v>190</v>
      </c>
      <c r="D4" s="45" t="s">
        <v>192</v>
      </c>
      <c r="E4" s="46"/>
      <c r="F4" s="42" t="s">
        <v>197</v>
      </c>
      <c r="G4" s="12"/>
      <c r="H4" s="47" t="s">
        <v>199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22.5" customHeight="1">
      <c r="A5" s="32" t="s">
        <v>136</v>
      </c>
      <c r="B5" s="39" t="s">
        <v>206</v>
      </c>
      <c r="C5" s="34" t="s">
        <v>207</v>
      </c>
      <c r="D5" s="34" t="s">
        <v>212</v>
      </c>
      <c r="E5" s="37" t="s">
        <v>213</v>
      </c>
      <c r="F5" s="42" t="s">
        <v>216</v>
      </c>
      <c r="G5" s="12"/>
      <c r="H5" s="51" t="s">
        <v>221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22.5" customHeight="1">
      <c r="A6" s="54" t="s">
        <v>25</v>
      </c>
      <c r="B6" s="39" t="s">
        <v>235</v>
      </c>
      <c r="C6" s="55" t="s">
        <v>238</v>
      </c>
      <c r="D6" s="55" t="s">
        <v>244</v>
      </c>
      <c r="E6" s="37" t="s">
        <v>246</v>
      </c>
      <c r="F6" s="42" t="s">
        <v>251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22.5" customHeight="1">
      <c r="A7" s="54" t="s">
        <v>90</v>
      </c>
      <c r="B7" s="37"/>
      <c r="C7" s="34" t="s">
        <v>262</v>
      </c>
      <c r="D7" s="55" t="s">
        <v>266</v>
      </c>
      <c r="E7" s="37"/>
      <c r="F7" s="42" t="s">
        <v>197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22.5" customHeight="1">
      <c r="A8" s="32" t="s">
        <v>276</v>
      </c>
      <c r="B8" s="39" t="s">
        <v>277</v>
      </c>
      <c r="C8" s="55" t="s">
        <v>281</v>
      </c>
      <c r="D8" s="55" t="s">
        <v>283</v>
      </c>
      <c r="E8" s="37"/>
      <c r="F8" s="66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2.5" customHeight="1">
      <c r="A9" s="32" t="s">
        <v>292</v>
      </c>
      <c r="B9" s="39" t="s">
        <v>134</v>
      </c>
      <c r="C9" s="34" t="s">
        <v>201</v>
      </c>
      <c r="D9" s="67" t="s">
        <v>300</v>
      </c>
      <c r="E9" s="37"/>
      <c r="F9" s="42"/>
      <c r="G9" s="11"/>
      <c r="H9" s="1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22.5" customHeight="1">
      <c r="A10" s="32" t="s">
        <v>97</v>
      </c>
      <c r="B10" s="39" t="s">
        <v>277</v>
      </c>
      <c r="C10" s="55" t="s">
        <v>96</v>
      </c>
      <c r="D10" s="37"/>
      <c r="E10" s="37"/>
      <c r="F10" s="42" t="s">
        <v>317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22.5" customHeight="1">
      <c r="A11" s="32" t="s">
        <v>51</v>
      </c>
      <c r="B11" s="39" t="s">
        <v>203</v>
      </c>
      <c r="C11" s="55" t="s">
        <v>325</v>
      </c>
      <c r="D11" s="34" t="s">
        <v>327</v>
      </c>
      <c r="E11" s="37"/>
      <c r="F11" s="42" t="s">
        <v>330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22.5" customHeight="1">
      <c r="A12" s="44" t="s">
        <v>336</v>
      </c>
      <c r="B12" s="45" t="s">
        <v>203</v>
      </c>
      <c r="C12" s="69" t="s">
        <v>338</v>
      </c>
      <c r="D12" s="70" t="s">
        <v>101</v>
      </c>
      <c r="E12" s="46"/>
      <c r="F12" s="42" t="s">
        <v>342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2.5" customHeight="1">
      <c r="A13" s="32" t="s">
        <v>346</v>
      </c>
      <c r="B13" s="34" t="s">
        <v>349</v>
      </c>
      <c r="C13" s="55" t="s">
        <v>96</v>
      </c>
      <c r="D13" s="55" t="s">
        <v>277</v>
      </c>
      <c r="E13" s="37"/>
      <c r="F13" s="42" t="s">
        <v>352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22.5" customHeight="1">
      <c r="A14" s="32" t="s">
        <v>357</v>
      </c>
      <c r="B14" s="34" t="s">
        <v>347</v>
      </c>
      <c r="C14" s="37"/>
      <c r="D14" s="55" t="s">
        <v>201</v>
      </c>
      <c r="E14" s="37"/>
      <c r="F14" s="42" t="s">
        <v>361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22.5" customHeight="1">
      <c r="A15" s="32" t="s">
        <v>367</v>
      </c>
      <c r="B15" s="71" t="s">
        <v>369</v>
      </c>
      <c r="C15" s="73"/>
      <c r="D15" s="69" t="s">
        <v>320</v>
      </c>
      <c r="E15" s="37"/>
      <c r="F15" s="66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22.5" customHeight="1">
      <c r="A16" s="32" t="s">
        <v>379</v>
      </c>
      <c r="B16" s="34" t="s">
        <v>380</v>
      </c>
      <c r="C16" s="34" t="s">
        <v>223</v>
      </c>
      <c r="D16" s="34" t="s">
        <v>218</v>
      </c>
      <c r="E16" s="37"/>
      <c r="F16" s="74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22.5" customHeight="1">
      <c r="A17" s="32" t="s">
        <v>391</v>
      </c>
      <c r="B17" s="75"/>
      <c r="C17" s="55" t="s">
        <v>230</v>
      </c>
      <c r="D17" s="34" t="s">
        <v>393</v>
      </c>
      <c r="E17" s="37"/>
      <c r="F17" s="42" t="s">
        <v>361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22.5" customHeight="1">
      <c r="A18" s="32" t="s">
        <v>401</v>
      </c>
      <c r="B18" s="34" t="s">
        <v>211</v>
      </c>
      <c r="C18" s="34" t="s">
        <v>402</v>
      </c>
      <c r="D18" s="34" t="s">
        <v>404</v>
      </c>
      <c r="E18" s="37"/>
      <c r="F18" s="66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22.5" customHeight="1">
      <c r="A19" s="32" t="s">
        <v>307</v>
      </c>
      <c r="B19" s="39" t="s">
        <v>206</v>
      </c>
      <c r="C19" s="39" t="s">
        <v>165</v>
      </c>
      <c r="D19" s="55" t="s">
        <v>102</v>
      </c>
      <c r="E19" s="37"/>
      <c r="F19" s="42" t="s">
        <v>216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22.5" customHeight="1">
      <c r="A20" s="79" t="s">
        <v>71</v>
      </c>
      <c r="B20" s="37"/>
      <c r="C20" s="55" t="s">
        <v>380</v>
      </c>
      <c r="D20" s="55" t="s">
        <v>280</v>
      </c>
      <c r="E20" s="37"/>
      <c r="F20" s="66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22.5" customHeight="1">
      <c r="A21" s="32" t="s">
        <v>48</v>
      </c>
      <c r="B21" s="39" t="s">
        <v>419</v>
      </c>
      <c r="C21" s="55" t="s">
        <v>420</v>
      </c>
      <c r="D21" s="34" t="s">
        <v>422</v>
      </c>
      <c r="E21" s="37"/>
      <c r="F21" s="86"/>
      <c r="G21" s="15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22.5" customHeight="1">
      <c r="A22" s="44" t="s">
        <v>428</v>
      </c>
      <c r="B22" s="45" t="s">
        <v>430</v>
      </c>
      <c r="C22" s="69" t="s">
        <v>432</v>
      </c>
      <c r="D22" s="70" t="s">
        <v>433</v>
      </c>
      <c r="E22" s="46"/>
      <c r="F22" s="42" t="s">
        <v>434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22.5" customHeight="1">
      <c r="A23" s="44" t="s">
        <v>437</v>
      </c>
      <c r="B23" s="45" t="s">
        <v>433</v>
      </c>
      <c r="C23" s="73"/>
      <c r="D23" s="73"/>
      <c r="E23" s="46"/>
      <c r="F23" s="66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22.5" customHeight="1">
      <c r="A24" s="54" t="s">
        <v>23</v>
      </c>
      <c r="B24" s="39" t="s">
        <v>238</v>
      </c>
      <c r="C24" s="55" t="s">
        <v>444</v>
      </c>
      <c r="D24" s="55" t="s">
        <v>446</v>
      </c>
      <c r="E24" s="37"/>
      <c r="F24" s="66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22.5" customHeight="1">
      <c r="A25" s="54" t="s">
        <v>56</v>
      </c>
      <c r="B25" s="39" t="s">
        <v>101</v>
      </c>
      <c r="C25" s="39" t="s">
        <v>375</v>
      </c>
      <c r="D25" s="55" t="s">
        <v>133</v>
      </c>
      <c r="E25" s="37"/>
      <c r="F25" s="66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22.5" customHeight="1">
      <c r="A26" s="54" t="s">
        <v>61</v>
      </c>
      <c r="B26" s="39" t="s">
        <v>277</v>
      </c>
      <c r="C26" s="39" t="s">
        <v>452</v>
      </c>
      <c r="D26" s="34" t="s">
        <v>454</v>
      </c>
      <c r="E26" s="37"/>
      <c r="F26" s="93"/>
      <c r="G26" s="31"/>
      <c r="H26" s="15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22.5" customHeight="1">
      <c r="A27" s="32" t="s">
        <v>458</v>
      </c>
      <c r="B27" s="39" t="s">
        <v>281</v>
      </c>
      <c r="C27" s="55" t="s">
        <v>96</v>
      </c>
      <c r="D27" s="34" t="s">
        <v>461</v>
      </c>
      <c r="E27" s="37"/>
      <c r="F27" s="42" t="s">
        <v>197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22.5" customHeight="1">
      <c r="A28" s="32" t="s">
        <v>463</v>
      </c>
      <c r="B28" s="34" t="s">
        <v>129</v>
      </c>
      <c r="C28" s="34" t="s">
        <v>133</v>
      </c>
      <c r="D28" s="55" t="s">
        <v>102</v>
      </c>
      <c r="E28" s="37"/>
      <c r="F28" s="66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22.5" customHeight="1">
      <c r="A29" s="32" t="s">
        <v>9</v>
      </c>
      <c r="B29" s="39" t="s">
        <v>244</v>
      </c>
      <c r="C29" s="55" t="s">
        <v>259</v>
      </c>
      <c r="D29" s="34" t="s">
        <v>472</v>
      </c>
      <c r="E29" s="37" t="s">
        <v>473</v>
      </c>
      <c r="F29" s="66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22.5" customHeight="1">
      <c r="A30" s="54" t="s">
        <v>122</v>
      </c>
      <c r="B30" s="39" t="s">
        <v>474</v>
      </c>
      <c r="C30" s="34" t="s">
        <v>475</v>
      </c>
      <c r="D30" s="37"/>
      <c r="E30" s="37"/>
      <c r="F30" s="42" t="s">
        <v>216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22.5" customHeight="1">
      <c r="A31" s="32" t="s">
        <v>394</v>
      </c>
      <c r="B31" s="34" t="s">
        <v>478</v>
      </c>
      <c r="C31" s="55" t="s">
        <v>230</v>
      </c>
      <c r="D31" s="34" t="s">
        <v>299</v>
      </c>
      <c r="E31" s="37"/>
      <c r="F31" s="66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22.5" customHeight="1">
      <c r="A32" s="32" t="s">
        <v>289</v>
      </c>
      <c r="B32" s="95" t="s">
        <v>484</v>
      </c>
      <c r="C32" s="69" t="s">
        <v>446</v>
      </c>
      <c r="D32" s="69" t="s">
        <v>486</v>
      </c>
      <c r="E32" s="37"/>
      <c r="F32" s="42" t="s">
        <v>487</v>
      </c>
      <c r="G32" s="1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22.5" customHeight="1">
      <c r="A33" s="54" t="s">
        <v>20</v>
      </c>
      <c r="B33" s="34" t="s">
        <v>489</v>
      </c>
      <c r="C33" s="55" t="s">
        <v>490</v>
      </c>
      <c r="D33" s="39" t="s">
        <v>492</v>
      </c>
      <c r="E33" s="37"/>
      <c r="F33" s="42" t="s">
        <v>494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22.5" customHeight="1">
      <c r="A34" s="32" t="s">
        <v>496</v>
      </c>
      <c r="B34" s="39" t="s">
        <v>337</v>
      </c>
      <c r="C34" s="55" t="s">
        <v>85</v>
      </c>
      <c r="D34" s="37"/>
      <c r="E34" s="37"/>
      <c r="F34" s="74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22.5" customHeight="1">
      <c r="A35" s="32" t="s">
        <v>498</v>
      </c>
      <c r="B35" s="34" t="s">
        <v>193</v>
      </c>
      <c r="C35" s="39" t="s">
        <v>163</v>
      </c>
      <c r="D35" s="55" t="s">
        <v>201</v>
      </c>
      <c r="E35" s="37"/>
      <c r="F35" s="66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22.5" customHeight="1">
      <c r="A36" s="32" t="s">
        <v>2</v>
      </c>
      <c r="B36" s="39" t="s">
        <v>430</v>
      </c>
      <c r="C36" s="34" t="s">
        <v>504</v>
      </c>
      <c r="D36" s="37"/>
      <c r="E36" s="37"/>
      <c r="F36" s="42" t="s">
        <v>399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22.5" customHeight="1">
      <c r="A37" s="32" t="s">
        <v>14</v>
      </c>
      <c r="B37" s="34" t="s">
        <v>507</v>
      </c>
      <c r="C37" s="55" t="s">
        <v>277</v>
      </c>
      <c r="D37" s="55" t="s">
        <v>133</v>
      </c>
      <c r="E37" s="37"/>
      <c r="F37" s="96" t="s">
        <v>361</v>
      </c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ht="22.5" customHeight="1">
      <c r="A38" s="54" t="s">
        <v>67</v>
      </c>
      <c r="B38" s="39" t="s">
        <v>513</v>
      </c>
      <c r="C38" s="55" t="s">
        <v>514</v>
      </c>
      <c r="D38" s="55" t="s">
        <v>515</v>
      </c>
      <c r="E38" s="37"/>
      <c r="F38" s="66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22.5" customHeight="1">
      <c r="A39" s="32" t="s">
        <v>516</v>
      </c>
      <c r="B39" s="34" t="s">
        <v>482</v>
      </c>
      <c r="C39" s="37"/>
      <c r="D39" s="37"/>
      <c r="E39" s="37"/>
      <c r="F39" s="66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22.5" customHeight="1">
      <c r="A40" s="32" t="s">
        <v>509</v>
      </c>
      <c r="B40" s="39" t="s">
        <v>325</v>
      </c>
      <c r="C40" s="55" t="s">
        <v>203</v>
      </c>
      <c r="D40" s="55" t="s">
        <v>518</v>
      </c>
      <c r="E40" s="37"/>
      <c r="F40" s="66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22.5" customHeight="1">
      <c r="A41" s="54" t="s">
        <v>86</v>
      </c>
      <c r="B41" s="39" t="s">
        <v>444</v>
      </c>
      <c r="C41" s="34" t="s">
        <v>298</v>
      </c>
      <c r="D41" s="55" t="s">
        <v>277</v>
      </c>
      <c r="E41" s="37"/>
      <c r="F41" s="42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22.5" customHeight="1">
      <c r="A42" s="32" t="s">
        <v>521</v>
      </c>
      <c r="B42" s="39" t="s">
        <v>235</v>
      </c>
      <c r="C42" s="55" t="s">
        <v>259</v>
      </c>
      <c r="D42" s="55" t="s">
        <v>443</v>
      </c>
      <c r="E42" s="37"/>
      <c r="F42" s="66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22.5" customHeight="1">
      <c r="A43" s="32" t="s">
        <v>523</v>
      </c>
      <c r="B43" s="39" t="s">
        <v>238</v>
      </c>
      <c r="C43" s="37"/>
      <c r="D43" s="55" t="s">
        <v>133</v>
      </c>
      <c r="E43" s="37"/>
      <c r="F43" s="66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22.5" customHeight="1">
      <c r="A44" s="32" t="s">
        <v>301</v>
      </c>
      <c r="B44" s="39" t="s">
        <v>96</v>
      </c>
      <c r="C44" s="39" t="s">
        <v>283</v>
      </c>
      <c r="D44" s="55" t="s">
        <v>238</v>
      </c>
      <c r="E44" s="37"/>
      <c r="F44" s="74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22.5" customHeight="1">
      <c r="A45" s="32" t="s">
        <v>526</v>
      </c>
      <c r="B45" s="34" t="s">
        <v>230</v>
      </c>
      <c r="C45" s="55" t="s">
        <v>134</v>
      </c>
      <c r="D45" s="55" t="s">
        <v>529</v>
      </c>
      <c r="E45" s="37"/>
      <c r="F45" s="66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22.5" customHeight="1">
      <c r="A46" s="54" t="s">
        <v>29</v>
      </c>
      <c r="B46" s="39" t="s">
        <v>530</v>
      </c>
      <c r="C46" s="55" t="s">
        <v>531</v>
      </c>
      <c r="D46" s="55" t="s">
        <v>532</v>
      </c>
      <c r="E46" s="37"/>
      <c r="F46" s="66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22.5" customHeight="1">
      <c r="A47" s="32" t="s">
        <v>366</v>
      </c>
      <c r="B47" s="39" t="s">
        <v>101</v>
      </c>
      <c r="C47" s="39" t="s">
        <v>165</v>
      </c>
      <c r="D47" s="55" t="s">
        <v>533</v>
      </c>
      <c r="E47" s="37"/>
      <c r="F47" s="66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22.5" customHeight="1">
      <c r="A48" s="32" t="s">
        <v>445</v>
      </c>
      <c r="B48" s="34" t="s">
        <v>322</v>
      </c>
      <c r="C48" s="37"/>
      <c r="D48" s="37"/>
      <c r="E48" s="37"/>
      <c r="F48" s="66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22.5" customHeight="1">
      <c r="A49" s="44" t="s">
        <v>538</v>
      </c>
      <c r="B49" s="45" t="s">
        <v>433</v>
      </c>
      <c r="C49" s="70" t="s">
        <v>430</v>
      </c>
      <c r="D49" s="55" t="s">
        <v>380</v>
      </c>
      <c r="E49" s="46"/>
      <c r="F49" s="66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22.5" customHeight="1">
      <c r="A50" s="97" t="s">
        <v>541</v>
      </c>
      <c r="B50" s="69" t="s">
        <v>85</v>
      </c>
      <c r="C50" s="69" t="s">
        <v>270</v>
      </c>
      <c r="D50" s="70" t="s">
        <v>211</v>
      </c>
      <c r="E50" s="98"/>
      <c r="F50" s="99"/>
      <c r="G50" s="100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 ht="22.5" customHeight="1">
      <c r="A51" s="54" t="s">
        <v>27</v>
      </c>
      <c r="B51" s="37"/>
      <c r="C51" s="55" t="s">
        <v>337</v>
      </c>
      <c r="D51" s="55" t="s">
        <v>259</v>
      </c>
      <c r="E51" s="37"/>
      <c r="F51" s="66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22.5" customHeight="1">
      <c r="A52" s="32" t="s">
        <v>328</v>
      </c>
      <c r="B52" s="39" t="s">
        <v>547</v>
      </c>
      <c r="C52" s="39" t="s">
        <v>163</v>
      </c>
      <c r="D52" s="55" t="s">
        <v>275</v>
      </c>
      <c r="E52" s="37"/>
      <c r="F52" s="66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22.5" customHeight="1">
      <c r="A53" s="32" t="s">
        <v>552</v>
      </c>
      <c r="B53" s="34" t="s">
        <v>533</v>
      </c>
      <c r="C53" s="34" t="s">
        <v>508</v>
      </c>
      <c r="D53" s="34" t="s">
        <v>272</v>
      </c>
      <c r="E53" s="37"/>
      <c r="F53" s="66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22.5" customHeight="1">
      <c r="A54" s="44" t="s">
        <v>551</v>
      </c>
      <c r="B54" s="73"/>
      <c r="C54" s="69" t="s">
        <v>558</v>
      </c>
      <c r="D54" s="70" t="s">
        <v>244</v>
      </c>
      <c r="E54" s="46"/>
      <c r="F54" s="66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22.5" customHeight="1">
      <c r="A55" s="32" t="s">
        <v>219</v>
      </c>
      <c r="B55" s="39" t="s">
        <v>189</v>
      </c>
      <c r="C55" s="39" t="s">
        <v>190</v>
      </c>
      <c r="D55" s="55" t="s">
        <v>99</v>
      </c>
      <c r="E55" s="37"/>
      <c r="F55" s="66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22.5" customHeight="1">
      <c r="A56" s="54" t="s">
        <v>17</v>
      </c>
      <c r="B56" s="39" t="s">
        <v>430</v>
      </c>
      <c r="C56" s="55" t="s">
        <v>325</v>
      </c>
      <c r="D56" s="37"/>
      <c r="E56" s="37"/>
      <c r="F56" s="66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22.5" customHeight="1">
      <c r="A57" s="32" t="s">
        <v>258</v>
      </c>
      <c r="B57" s="37"/>
      <c r="C57" s="37"/>
      <c r="D57" s="39" t="s">
        <v>152</v>
      </c>
      <c r="E57" s="37"/>
      <c r="F57" s="66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22.5" customHeight="1">
      <c r="A58" s="32" t="s">
        <v>567</v>
      </c>
      <c r="B58" s="39" t="s">
        <v>433</v>
      </c>
      <c r="C58" s="34" t="s">
        <v>220</v>
      </c>
      <c r="D58" s="34" t="s">
        <v>569</v>
      </c>
      <c r="E58" s="37"/>
      <c r="F58" s="66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22.5" customHeight="1">
      <c r="A59" s="32" t="s">
        <v>571</v>
      </c>
      <c r="B59" s="39" t="s">
        <v>134</v>
      </c>
      <c r="C59" s="34" t="s">
        <v>364</v>
      </c>
      <c r="D59" s="34" t="s">
        <v>572</v>
      </c>
      <c r="E59" s="37"/>
      <c r="F59" s="66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22.5" customHeight="1">
      <c r="A60" s="32" t="s">
        <v>574</v>
      </c>
      <c r="B60" s="39" t="s">
        <v>281</v>
      </c>
      <c r="C60" s="55" t="s">
        <v>193</v>
      </c>
      <c r="D60" s="55" t="s">
        <v>444</v>
      </c>
      <c r="E60" s="37"/>
      <c r="F60" s="66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22.5" customHeight="1">
      <c r="A61" s="32" t="s">
        <v>576</v>
      </c>
      <c r="B61" s="34" t="s">
        <v>315</v>
      </c>
      <c r="C61" s="55" t="s">
        <v>85</v>
      </c>
      <c r="D61" s="55" t="s">
        <v>270</v>
      </c>
      <c r="E61" s="37"/>
      <c r="F61" s="66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22.5" customHeight="1">
      <c r="A62" s="44" t="s">
        <v>546</v>
      </c>
      <c r="B62" s="73"/>
      <c r="C62" s="69" t="s">
        <v>275</v>
      </c>
      <c r="D62" s="73"/>
      <c r="E62" s="46"/>
      <c r="F62" s="66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22.5" customHeight="1">
      <c r="A63" s="32" t="s">
        <v>578</v>
      </c>
      <c r="B63" s="34" t="s">
        <v>296</v>
      </c>
      <c r="C63" s="39" t="s">
        <v>165</v>
      </c>
      <c r="D63" s="55" t="s">
        <v>102</v>
      </c>
      <c r="E63" s="37"/>
      <c r="F63" s="66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22.5" customHeight="1">
      <c r="A64" s="32" t="s">
        <v>500</v>
      </c>
      <c r="B64" s="39" t="s">
        <v>580</v>
      </c>
      <c r="C64" s="34" t="s">
        <v>518</v>
      </c>
      <c r="D64" s="34" t="s">
        <v>581</v>
      </c>
      <c r="E64" s="37"/>
      <c r="F64" s="66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22.5" customHeight="1">
      <c r="A65" s="44" t="s">
        <v>561</v>
      </c>
      <c r="B65" s="69" t="s">
        <v>259</v>
      </c>
      <c r="C65" s="70" t="s">
        <v>358</v>
      </c>
      <c r="D65" s="70" t="s">
        <v>163</v>
      </c>
      <c r="E65" s="46"/>
      <c r="F65" s="66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22.5" customHeight="1">
      <c r="A66" s="54" t="s">
        <v>63</v>
      </c>
      <c r="B66" s="39" t="s">
        <v>337</v>
      </c>
      <c r="C66" s="55" t="s">
        <v>85</v>
      </c>
      <c r="D66" s="55" t="s">
        <v>433</v>
      </c>
      <c r="E66" s="37"/>
      <c r="F66" s="66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22.5" customHeight="1">
      <c r="A67" s="54" t="s">
        <v>59</v>
      </c>
      <c r="B67" s="34" t="s">
        <v>358</v>
      </c>
      <c r="C67" s="34" t="s">
        <v>583</v>
      </c>
      <c r="D67" s="39" t="s">
        <v>152</v>
      </c>
      <c r="E67" s="37"/>
      <c r="F67" s="42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22.5" customHeight="1">
      <c r="A68" s="54" t="s">
        <v>47</v>
      </c>
      <c r="B68" s="39" t="s">
        <v>585</v>
      </c>
      <c r="C68" s="39" t="s">
        <v>586</v>
      </c>
      <c r="D68" s="55" t="s">
        <v>587</v>
      </c>
      <c r="E68" s="37"/>
      <c r="F68" s="66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22.5" customHeight="1">
      <c r="A69" s="32" t="s">
        <v>34</v>
      </c>
      <c r="B69" s="34" t="s">
        <v>443</v>
      </c>
      <c r="C69" s="34" t="s">
        <v>588</v>
      </c>
      <c r="D69" s="34" t="s">
        <v>589</v>
      </c>
      <c r="E69" s="37"/>
      <c r="F69" s="66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22.5" customHeight="1">
      <c r="A70" s="54" t="s">
        <v>26</v>
      </c>
      <c r="B70" s="34" t="s">
        <v>591</v>
      </c>
      <c r="C70" s="34" t="s">
        <v>592</v>
      </c>
      <c r="D70" s="55" t="s">
        <v>277</v>
      </c>
      <c r="E70" s="37"/>
      <c r="F70" s="66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22.5" customHeight="1">
      <c r="A71" s="32" t="s">
        <v>52</v>
      </c>
      <c r="B71" s="39" t="s">
        <v>593</v>
      </c>
      <c r="C71" s="55" t="s">
        <v>594</v>
      </c>
      <c r="D71" s="55" t="s">
        <v>595</v>
      </c>
      <c r="E71" s="37"/>
      <c r="F71" s="74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05"/>
      <c r="B72" s="106"/>
      <c r="C72" s="107"/>
      <c r="D72" s="106"/>
      <c r="E72" s="106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05"/>
      <c r="B73" s="106"/>
      <c r="C73" s="107"/>
      <c r="D73" s="106"/>
      <c r="E73" s="106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05"/>
      <c r="B74" s="106"/>
      <c r="C74" s="107"/>
      <c r="D74" s="106"/>
      <c r="E74" s="106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05"/>
      <c r="B75" s="106"/>
      <c r="C75" s="107"/>
      <c r="D75" s="106"/>
      <c r="E75" s="106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05"/>
      <c r="B76" s="106"/>
      <c r="C76" s="107"/>
      <c r="D76" s="106"/>
      <c r="E76" s="106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05"/>
      <c r="B77" s="106"/>
      <c r="C77" s="107"/>
      <c r="D77" s="106"/>
      <c r="E77" s="106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05"/>
      <c r="B78" s="106"/>
      <c r="C78" s="107"/>
      <c r="D78" s="106"/>
      <c r="E78" s="106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05"/>
      <c r="B79" s="106"/>
      <c r="C79" s="107"/>
      <c r="D79" s="106"/>
      <c r="E79" s="106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05"/>
      <c r="B80" s="106"/>
      <c r="C80" s="107"/>
      <c r="D80" s="106"/>
      <c r="E80" s="106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05"/>
      <c r="B81" s="106"/>
      <c r="C81" s="107"/>
      <c r="D81" s="106"/>
      <c r="E81" s="106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05"/>
      <c r="B82" s="106"/>
      <c r="C82" s="107"/>
      <c r="D82" s="106"/>
      <c r="E82" s="106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05"/>
      <c r="B83" s="106"/>
      <c r="C83" s="107"/>
      <c r="D83" s="106"/>
      <c r="E83" s="106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05"/>
      <c r="B84" s="106"/>
      <c r="C84" s="107"/>
      <c r="D84" s="106"/>
      <c r="E84" s="106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05"/>
      <c r="B85" s="106"/>
      <c r="C85" s="107"/>
      <c r="D85" s="106"/>
      <c r="E85" s="106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05"/>
      <c r="B86" s="106"/>
      <c r="C86" s="107"/>
      <c r="D86" s="106"/>
      <c r="E86" s="106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05"/>
      <c r="B87" s="106"/>
      <c r="C87" s="107"/>
      <c r="D87" s="106"/>
      <c r="E87" s="106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05"/>
      <c r="B88" s="106"/>
      <c r="C88" s="107"/>
      <c r="D88" s="106"/>
      <c r="E88" s="106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05"/>
      <c r="B89" s="106"/>
      <c r="C89" s="107"/>
      <c r="D89" s="106"/>
      <c r="E89" s="106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05"/>
      <c r="B90" s="106"/>
      <c r="C90" s="107"/>
      <c r="D90" s="106"/>
      <c r="E90" s="106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05"/>
      <c r="B91" s="106"/>
      <c r="C91" s="107"/>
      <c r="D91" s="106"/>
      <c r="E91" s="106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05"/>
      <c r="B92" s="106"/>
      <c r="C92" s="107"/>
      <c r="D92" s="106"/>
      <c r="E92" s="106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05"/>
      <c r="B93" s="106"/>
      <c r="C93" s="107"/>
      <c r="D93" s="106"/>
      <c r="E93" s="106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05"/>
      <c r="B94" s="106"/>
      <c r="C94" s="107"/>
      <c r="D94" s="106"/>
      <c r="E94" s="106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05"/>
      <c r="B95" s="106"/>
      <c r="C95" s="107"/>
      <c r="D95" s="106"/>
      <c r="E95" s="106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05"/>
      <c r="B96" s="106"/>
      <c r="C96" s="107"/>
      <c r="D96" s="106"/>
      <c r="E96" s="106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05"/>
      <c r="B97" s="106"/>
      <c r="C97" s="107"/>
      <c r="D97" s="106"/>
      <c r="E97" s="106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05"/>
      <c r="B98" s="106"/>
      <c r="C98" s="107"/>
      <c r="D98" s="106"/>
      <c r="E98" s="106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05"/>
      <c r="B99" s="106"/>
      <c r="C99" s="107"/>
      <c r="D99" s="106"/>
      <c r="E99" s="106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05"/>
      <c r="B100" s="106"/>
      <c r="C100" s="107"/>
      <c r="D100" s="106"/>
      <c r="E100" s="106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05"/>
      <c r="B101" s="106"/>
      <c r="C101" s="107"/>
      <c r="D101" s="106"/>
      <c r="E101" s="106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05"/>
      <c r="B102" s="106"/>
      <c r="C102" s="107"/>
      <c r="D102" s="106"/>
      <c r="E102" s="106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05"/>
      <c r="B103" s="106"/>
      <c r="C103" s="107"/>
      <c r="D103" s="106"/>
      <c r="E103" s="106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05"/>
      <c r="B104" s="106"/>
      <c r="C104" s="107"/>
      <c r="D104" s="106"/>
      <c r="E104" s="106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05"/>
      <c r="B105" s="106"/>
      <c r="C105" s="107"/>
      <c r="D105" s="106"/>
      <c r="E105" s="106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05"/>
      <c r="B106" s="106"/>
      <c r="C106" s="107"/>
      <c r="D106" s="106"/>
      <c r="E106" s="106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05"/>
      <c r="B107" s="106"/>
      <c r="C107" s="107"/>
      <c r="D107" s="106"/>
      <c r="E107" s="106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05"/>
      <c r="B108" s="106"/>
      <c r="C108" s="107"/>
      <c r="D108" s="106"/>
      <c r="E108" s="106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05"/>
      <c r="B109" s="106"/>
      <c r="C109" s="107"/>
      <c r="D109" s="106"/>
      <c r="E109" s="106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05"/>
      <c r="B110" s="106"/>
      <c r="C110" s="107"/>
      <c r="D110" s="106"/>
      <c r="E110" s="106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05"/>
      <c r="B111" s="106"/>
      <c r="C111" s="107"/>
      <c r="D111" s="106"/>
      <c r="E111" s="106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05"/>
      <c r="B112" s="106"/>
      <c r="C112" s="107"/>
      <c r="D112" s="106"/>
      <c r="E112" s="106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05"/>
      <c r="B113" s="106"/>
      <c r="C113" s="107"/>
      <c r="D113" s="106"/>
      <c r="E113" s="106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05"/>
      <c r="B114" s="106"/>
      <c r="C114" s="107"/>
      <c r="D114" s="106"/>
      <c r="E114" s="106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05"/>
      <c r="B115" s="106"/>
      <c r="C115" s="107"/>
      <c r="D115" s="106"/>
      <c r="E115" s="106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05"/>
      <c r="B116" s="106"/>
      <c r="C116" s="107"/>
      <c r="D116" s="106"/>
      <c r="E116" s="106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05"/>
      <c r="B117" s="106"/>
      <c r="C117" s="107"/>
      <c r="D117" s="106"/>
      <c r="E117" s="106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05"/>
      <c r="B118" s="106"/>
      <c r="C118" s="107"/>
      <c r="D118" s="106"/>
      <c r="E118" s="106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05"/>
      <c r="B119" s="106"/>
      <c r="C119" s="107"/>
      <c r="D119" s="106"/>
      <c r="E119" s="106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05"/>
      <c r="B120" s="106"/>
      <c r="C120" s="107"/>
      <c r="D120" s="106"/>
      <c r="E120" s="106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05"/>
      <c r="B121" s="106"/>
      <c r="C121" s="107"/>
      <c r="D121" s="106"/>
      <c r="E121" s="106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05"/>
      <c r="B122" s="106"/>
      <c r="C122" s="107"/>
      <c r="D122" s="106"/>
      <c r="E122" s="106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05"/>
      <c r="B123" s="106"/>
      <c r="C123" s="107"/>
      <c r="D123" s="106"/>
      <c r="E123" s="106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05"/>
      <c r="B124" s="106"/>
      <c r="C124" s="107"/>
      <c r="D124" s="106"/>
      <c r="E124" s="106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05"/>
      <c r="B125" s="106"/>
      <c r="C125" s="107"/>
      <c r="D125" s="106"/>
      <c r="E125" s="106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05"/>
      <c r="B126" s="106"/>
      <c r="C126" s="107"/>
      <c r="D126" s="106"/>
      <c r="E126" s="106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05"/>
      <c r="B127" s="106"/>
      <c r="C127" s="107"/>
      <c r="D127" s="106"/>
      <c r="E127" s="106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05"/>
      <c r="B128" s="106"/>
      <c r="C128" s="107"/>
      <c r="D128" s="106"/>
      <c r="E128" s="106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05"/>
      <c r="B129" s="106"/>
      <c r="C129" s="107"/>
      <c r="D129" s="106"/>
      <c r="E129" s="106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05"/>
      <c r="B130" s="106"/>
      <c r="C130" s="107"/>
      <c r="D130" s="106"/>
      <c r="E130" s="106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05"/>
      <c r="B131" s="106"/>
      <c r="C131" s="107"/>
      <c r="D131" s="106"/>
      <c r="E131" s="106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05"/>
      <c r="B132" s="106"/>
      <c r="C132" s="107"/>
      <c r="D132" s="106"/>
      <c r="E132" s="106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05"/>
      <c r="B133" s="106"/>
      <c r="C133" s="107"/>
      <c r="D133" s="106"/>
      <c r="E133" s="106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</sheetData>
  <conditionalFormatting sqref="A1:AA1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4" width="31.38"/>
    <col customWidth="1" min="6" max="6" width="21.0"/>
    <col customWidth="1" min="7" max="8" width="31.38"/>
  </cols>
  <sheetData>
    <row r="1">
      <c r="A1" s="7" t="s">
        <v>50</v>
      </c>
      <c r="B1" s="9" t="s">
        <v>53</v>
      </c>
      <c r="C1" s="9" t="s">
        <v>57</v>
      </c>
      <c r="D1" s="9" t="s">
        <v>58</v>
      </c>
      <c r="E1" s="10" t="s">
        <v>60</v>
      </c>
      <c r="F1" s="11"/>
      <c r="G1" s="9" t="s">
        <v>64</v>
      </c>
      <c r="H1" s="9" t="s">
        <v>65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7" t="s">
        <v>75</v>
      </c>
      <c r="B2" s="12" t="s">
        <v>76</v>
      </c>
      <c r="C2" s="13" t="s">
        <v>78</v>
      </c>
      <c r="D2" s="12" t="s">
        <v>81</v>
      </c>
      <c r="E2" s="12" t="s">
        <v>83</v>
      </c>
      <c r="F2" s="11"/>
      <c r="G2" s="15" t="s">
        <v>85</v>
      </c>
      <c r="H2" s="15" t="s">
        <v>87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7" t="s">
        <v>95</v>
      </c>
      <c r="B3" s="12" t="s">
        <v>96</v>
      </c>
      <c r="C3" s="12" t="s">
        <v>98</v>
      </c>
      <c r="D3" s="12" t="s">
        <v>99</v>
      </c>
      <c r="E3" s="11"/>
      <c r="F3" s="11"/>
      <c r="G3" s="12" t="s">
        <v>101</v>
      </c>
      <c r="H3" s="12" t="s">
        <v>102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22" t="s">
        <v>110</v>
      </c>
      <c r="B4" s="12" t="s">
        <v>112</v>
      </c>
      <c r="C4" s="12" t="s">
        <v>113</v>
      </c>
      <c r="D4" s="12" t="s">
        <v>115</v>
      </c>
      <c r="E4" s="11"/>
      <c r="F4" s="11"/>
      <c r="G4" s="12" t="s">
        <v>116</v>
      </c>
      <c r="H4" s="12" t="s">
        <v>118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7" t="s">
        <v>126</v>
      </c>
      <c r="B5" s="12" t="s">
        <v>127</v>
      </c>
      <c r="C5" s="12" t="s">
        <v>96</v>
      </c>
      <c r="D5" s="12" t="s">
        <v>129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7" t="s">
        <v>42</v>
      </c>
      <c r="B6" s="12" t="s">
        <v>96</v>
      </c>
      <c r="C6" s="12" t="s">
        <v>127</v>
      </c>
      <c r="D6" s="12" t="s">
        <v>133</v>
      </c>
      <c r="E6" s="11"/>
      <c r="F6" s="11"/>
      <c r="G6" s="12" t="s">
        <v>134</v>
      </c>
      <c r="H6" s="12" t="s">
        <v>135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22" t="s">
        <v>138</v>
      </c>
      <c r="B7" s="12" t="s">
        <v>139</v>
      </c>
      <c r="C7" s="31" t="s">
        <v>140</v>
      </c>
      <c r="D7" s="31" t="s">
        <v>141</v>
      </c>
      <c r="E7" s="12" t="s">
        <v>142</v>
      </c>
      <c r="F7" s="11"/>
      <c r="G7" s="12" t="s">
        <v>143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22" t="s">
        <v>147</v>
      </c>
      <c r="B8" s="35" t="s">
        <v>148</v>
      </c>
      <c r="C8" s="11"/>
      <c r="D8" s="11"/>
      <c r="E8" s="12" t="s">
        <v>150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7" t="s">
        <v>151</v>
      </c>
      <c r="B9" s="12" t="s">
        <v>152</v>
      </c>
      <c r="C9" s="12" t="s">
        <v>153</v>
      </c>
      <c r="D9" s="12" t="s">
        <v>154</v>
      </c>
      <c r="E9" s="12" t="s">
        <v>150</v>
      </c>
      <c r="F9" s="11"/>
      <c r="G9" s="12" t="s">
        <v>155</v>
      </c>
      <c r="H9" s="12" t="s">
        <v>156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22" t="s">
        <v>159</v>
      </c>
      <c r="B10" s="31" t="s">
        <v>161</v>
      </c>
      <c r="C10" s="12" t="s">
        <v>163</v>
      </c>
      <c r="D10" s="12" t="s">
        <v>145</v>
      </c>
      <c r="E10" s="11"/>
      <c r="F10" s="11"/>
      <c r="G10" s="12" t="s">
        <v>164</v>
      </c>
      <c r="H10" s="12" t="s">
        <v>165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7" t="s">
        <v>91</v>
      </c>
      <c r="B11" s="12" t="s">
        <v>166</v>
      </c>
      <c r="C11" s="12" t="s">
        <v>167</v>
      </c>
      <c r="D11" s="12" t="s">
        <v>168</v>
      </c>
      <c r="E11" s="11"/>
      <c r="F11" s="11"/>
      <c r="G11" s="12" t="s">
        <v>169</v>
      </c>
      <c r="H11" s="12" t="s">
        <v>171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7" t="s">
        <v>175</v>
      </c>
      <c r="B12" s="12" t="s">
        <v>176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40" t="s">
        <v>100</v>
      </c>
      <c r="B13" s="12"/>
      <c r="C13" s="12" t="s">
        <v>179</v>
      </c>
      <c r="D13" s="41"/>
      <c r="E13" s="1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7" t="s">
        <v>120</v>
      </c>
      <c r="B14" s="12" t="s">
        <v>183</v>
      </c>
      <c r="C14" s="12" t="s">
        <v>184</v>
      </c>
      <c r="D14" s="31" t="s">
        <v>185</v>
      </c>
      <c r="E14" s="11"/>
      <c r="F14" s="11"/>
      <c r="G14" s="12" t="s">
        <v>186</v>
      </c>
      <c r="H14" s="12" t="s">
        <v>187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40" t="s">
        <v>46</v>
      </c>
      <c r="B15" s="31" t="s">
        <v>153</v>
      </c>
      <c r="C15" s="31" t="s">
        <v>98</v>
      </c>
      <c r="D15" s="31" t="s">
        <v>134</v>
      </c>
      <c r="E15" s="31"/>
      <c r="F15" s="11"/>
      <c r="G15" s="31" t="s">
        <v>99</v>
      </c>
      <c r="H15" s="12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22" t="s">
        <v>89</v>
      </c>
      <c r="B16" s="12" t="s">
        <v>193</v>
      </c>
      <c r="C16" s="12" t="s">
        <v>134</v>
      </c>
      <c r="D16" s="12" t="s">
        <v>194</v>
      </c>
      <c r="E16" s="12"/>
      <c r="F16" s="11"/>
      <c r="G16" s="12" t="s">
        <v>195</v>
      </c>
      <c r="H16" s="12" t="s">
        <v>196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40" t="s">
        <v>103</v>
      </c>
      <c r="B17" s="12" t="s">
        <v>198</v>
      </c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40" t="s">
        <v>200</v>
      </c>
      <c r="B18" s="12" t="s">
        <v>201</v>
      </c>
      <c r="C18" s="11"/>
      <c r="D18" s="41"/>
      <c r="E18" s="12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22" t="s">
        <v>79</v>
      </c>
      <c r="B19" s="15" t="s">
        <v>98</v>
      </c>
      <c r="C19" s="15" t="s">
        <v>202</v>
      </c>
      <c r="D19" s="15" t="s">
        <v>203</v>
      </c>
      <c r="E19" s="12"/>
      <c r="F19" s="11"/>
      <c r="G19" s="15" t="s">
        <v>204</v>
      </c>
      <c r="H19" s="15" t="s">
        <v>205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7" t="s">
        <v>208</v>
      </c>
      <c r="B20" s="12" t="s">
        <v>85</v>
      </c>
      <c r="C20" s="12" t="s">
        <v>210</v>
      </c>
      <c r="D20" s="12" t="s">
        <v>211</v>
      </c>
      <c r="E20" s="11"/>
      <c r="F20" s="11"/>
      <c r="G20" s="12" t="s">
        <v>217</v>
      </c>
      <c r="H20" s="12" t="s">
        <v>218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7" t="s">
        <v>49</v>
      </c>
      <c r="B21" s="12" t="s">
        <v>192</v>
      </c>
      <c r="C21" s="15" t="s">
        <v>223</v>
      </c>
      <c r="D21" s="31" t="s">
        <v>224</v>
      </c>
      <c r="E21" s="12"/>
      <c r="F21" s="11"/>
      <c r="G21" s="31"/>
      <c r="H21" s="1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22" t="s">
        <v>70</v>
      </c>
      <c r="B22" s="15" t="s">
        <v>229</v>
      </c>
      <c r="C22" s="31" t="s">
        <v>230</v>
      </c>
      <c r="D22" s="15" t="s">
        <v>231</v>
      </c>
      <c r="E22" s="12"/>
      <c r="F22" s="11"/>
      <c r="G22" s="12" t="s">
        <v>232</v>
      </c>
      <c r="H22" s="12" t="s">
        <v>234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40" t="s">
        <v>236</v>
      </c>
      <c r="B23" s="12" t="s">
        <v>192</v>
      </c>
      <c r="C23" s="12" t="s">
        <v>237</v>
      </c>
      <c r="D23" s="12" t="s">
        <v>239</v>
      </c>
      <c r="E23" s="12"/>
      <c r="F23" s="11"/>
      <c r="G23" s="12" t="s">
        <v>241</v>
      </c>
      <c r="H23" s="12" t="s">
        <v>242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7" t="s">
        <v>84</v>
      </c>
      <c r="B24" s="31"/>
      <c r="C24" s="15" t="s">
        <v>247</v>
      </c>
      <c r="D24" s="15" t="s">
        <v>248</v>
      </c>
      <c r="E24" s="15"/>
      <c r="F24" s="11"/>
      <c r="G24" s="15" t="s">
        <v>249</v>
      </c>
      <c r="H24" s="31" t="s">
        <v>250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22" t="s">
        <v>104</v>
      </c>
      <c r="B25" s="15" t="s">
        <v>252</v>
      </c>
      <c r="C25" s="12" t="s">
        <v>253</v>
      </c>
      <c r="D25" s="31"/>
      <c r="E25" s="12"/>
      <c r="F25" s="11"/>
      <c r="G25" s="31" t="s">
        <v>254</v>
      </c>
      <c r="H25" s="41" t="s">
        <v>256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40" t="s">
        <v>44</v>
      </c>
      <c r="B26" s="31" t="s">
        <v>259</v>
      </c>
      <c r="C26" s="12"/>
      <c r="D26" s="12"/>
      <c r="E26" s="12"/>
      <c r="F26" s="11"/>
      <c r="G26" s="12"/>
      <c r="H26" s="12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40" t="s">
        <v>93</v>
      </c>
      <c r="B27" s="31" t="s">
        <v>261</v>
      </c>
      <c r="C27" s="15" t="s">
        <v>263</v>
      </c>
      <c r="D27" s="12" t="s">
        <v>264</v>
      </c>
      <c r="E27" s="12"/>
      <c r="F27" s="11"/>
      <c r="G27" s="12" t="s">
        <v>264</v>
      </c>
      <c r="H27" s="31" t="s">
        <v>265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59" t="s">
        <v>69</v>
      </c>
      <c r="B28" s="15" t="s">
        <v>269</v>
      </c>
      <c r="C28" s="15" t="s">
        <v>270</v>
      </c>
      <c r="D28" s="15" t="s">
        <v>230</v>
      </c>
      <c r="E28" s="60"/>
      <c r="F28" s="61"/>
      <c r="G28" s="15" t="s">
        <v>271</v>
      </c>
      <c r="H28" s="15" t="s">
        <v>85</v>
      </c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62" t="s">
        <v>273</v>
      </c>
      <c r="B29" s="63" t="s">
        <v>206</v>
      </c>
      <c r="C29" s="63" t="s">
        <v>163</v>
      </c>
      <c r="D29" s="63" t="s">
        <v>275</v>
      </c>
      <c r="E29" s="63" t="s">
        <v>142</v>
      </c>
      <c r="F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62" t="s">
        <v>279</v>
      </c>
      <c r="B30" s="63" t="s">
        <v>218</v>
      </c>
      <c r="C30" s="63" t="s">
        <v>280</v>
      </c>
      <c r="D30" s="63" t="s">
        <v>282</v>
      </c>
      <c r="E30" s="63" t="s">
        <v>142</v>
      </c>
      <c r="F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64" t="s">
        <v>284</v>
      </c>
      <c r="B31" s="65" t="s">
        <v>207</v>
      </c>
      <c r="C31" s="65" t="s">
        <v>285</v>
      </c>
      <c r="D31" s="65" t="s">
        <v>286</v>
      </c>
      <c r="E31" s="11"/>
      <c r="F31" s="11"/>
      <c r="G31" s="65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64" t="s">
        <v>288</v>
      </c>
      <c r="B32" s="65" t="s">
        <v>290</v>
      </c>
      <c r="C32" s="65" t="s">
        <v>211</v>
      </c>
      <c r="D32" s="65" t="s">
        <v>280</v>
      </c>
      <c r="E32" s="65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64" t="s">
        <v>294</v>
      </c>
      <c r="B33" s="65" t="s">
        <v>296</v>
      </c>
      <c r="C33" s="65" t="s">
        <v>297</v>
      </c>
      <c r="D33" s="65" t="s">
        <v>298</v>
      </c>
      <c r="E33" s="65" t="s">
        <v>150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64" t="s">
        <v>170</v>
      </c>
      <c r="B34" s="65" t="s">
        <v>190</v>
      </c>
      <c r="C34" s="65" t="s">
        <v>115</v>
      </c>
      <c r="D34" s="65" t="s">
        <v>302</v>
      </c>
      <c r="E34" s="65" t="s">
        <v>304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64" t="s">
        <v>305</v>
      </c>
      <c r="B35" s="65" t="s">
        <v>283</v>
      </c>
      <c r="C35" s="65" t="s">
        <v>235</v>
      </c>
      <c r="D35" s="65" t="s">
        <v>308</v>
      </c>
      <c r="E35" s="65" t="s">
        <v>150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64" t="s">
        <v>311</v>
      </c>
      <c r="B36" s="65" t="s">
        <v>312</v>
      </c>
      <c r="C36" s="65" t="s">
        <v>129</v>
      </c>
      <c r="D36" s="65" t="s">
        <v>298</v>
      </c>
      <c r="E36" s="65" t="s">
        <v>150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64" t="s">
        <v>313</v>
      </c>
      <c r="B37" s="65" t="s">
        <v>280</v>
      </c>
      <c r="C37" s="65" t="s">
        <v>315</v>
      </c>
      <c r="D37" s="65" t="s">
        <v>218</v>
      </c>
      <c r="E37" s="65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64" t="s">
        <v>319</v>
      </c>
      <c r="B38" s="65" t="s">
        <v>278</v>
      </c>
      <c r="C38" s="65" t="s">
        <v>321</v>
      </c>
      <c r="D38" s="65" t="s">
        <v>322</v>
      </c>
      <c r="E38" s="65" t="s">
        <v>150</v>
      </c>
      <c r="F38" s="6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64" t="s">
        <v>324</v>
      </c>
      <c r="B39" s="65" t="s">
        <v>165</v>
      </c>
      <c r="C39" s="65" t="s">
        <v>326</v>
      </c>
      <c r="D39" s="65" t="s">
        <v>165</v>
      </c>
      <c r="E39" s="65" t="s">
        <v>304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64" t="s">
        <v>331</v>
      </c>
      <c r="B40" s="65" t="s">
        <v>190</v>
      </c>
      <c r="C40" s="65" t="s">
        <v>163</v>
      </c>
      <c r="D40" s="65" t="s">
        <v>275</v>
      </c>
      <c r="E40" s="65" t="s">
        <v>150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64" t="s">
        <v>334</v>
      </c>
      <c r="B41" s="65" t="s">
        <v>335</v>
      </c>
      <c r="C41" s="65" t="s">
        <v>220</v>
      </c>
      <c r="D41" s="65" t="s">
        <v>337</v>
      </c>
      <c r="E41" s="65" t="s">
        <v>150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>
      <c r="A42" s="64" t="s">
        <v>339</v>
      </c>
      <c r="B42" s="65" t="s">
        <v>203</v>
      </c>
      <c r="C42" s="65"/>
      <c r="D42" s="65" t="s">
        <v>340</v>
      </c>
      <c r="E42" s="65" t="s">
        <v>304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64" t="s">
        <v>341</v>
      </c>
      <c r="B43" s="65" t="s">
        <v>287</v>
      </c>
      <c r="C43" s="65" t="s">
        <v>165</v>
      </c>
      <c r="D43" s="65" t="s">
        <v>165</v>
      </c>
      <c r="E43" s="65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64" t="s">
        <v>344</v>
      </c>
      <c r="B44" s="65" t="s">
        <v>345</v>
      </c>
      <c r="C44" s="65" t="s">
        <v>192</v>
      </c>
      <c r="D44" s="65" t="s">
        <v>320</v>
      </c>
      <c r="E44" s="65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64" t="s">
        <v>350</v>
      </c>
      <c r="B45" s="65" t="s">
        <v>101</v>
      </c>
      <c r="C45" s="65" t="s">
        <v>275</v>
      </c>
      <c r="D45" s="65" t="s">
        <v>260</v>
      </c>
      <c r="E45" s="65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64" t="s">
        <v>353</v>
      </c>
      <c r="B46" s="65" t="s">
        <v>354</v>
      </c>
      <c r="C46" s="65" t="s">
        <v>223</v>
      </c>
      <c r="D46" s="65" t="s">
        <v>271</v>
      </c>
      <c r="E46" s="65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64" t="s">
        <v>191</v>
      </c>
      <c r="B47" s="65"/>
      <c r="C47" s="65" t="s">
        <v>303</v>
      </c>
      <c r="D47" s="65"/>
      <c r="E47" s="65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64" t="s">
        <v>359</v>
      </c>
      <c r="B48" s="65" t="s">
        <v>360</v>
      </c>
      <c r="C48" s="65"/>
      <c r="D48" s="65"/>
      <c r="E48" s="65" t="s">
        <v>150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64" t="s">
        <v>363</v>
      </c>
      <c r="B49" s="65" t="s">
        <v>134</v>
      </c>
      <c r="C49" s="65" t="s">
        <v>364</v>
      </c>
      <c r="D49" s="65" t="s">
        <v>300</v>
      </c>
      <c r="E49" s="65" t="s">
        <v>150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64" t="s">
        <v>370</v>
      </c>
      <c r="B50" s="65" t="s">
        <v>371</v>
      </c>
      <c r="C50" s="65" t="s">
        <v>134</v>
      </c>
      <c r="D50" s="65" t="s">
        <v>201</v>
      </c>
      <c r="E50" s="65" t="s">
        <v>304</v>
      </c>
      <c r="F50" s="7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64" t="s">
        <v>374</v>
      </c>
      <c r="B51" s="65" t="s">
        <v>99</v>
      </c>
      <c r="C51" s="65" t="s">
        <v>375</v>
      </c>
      <c r="D51" s="65" t="s">
        <v>129</v>
      </c>
      <c r="E51" s="65"/>
      <c r="F51" s="72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64" t="s">
        <v>378</v>
      </c>
      <c r="B52" s="65" t="s">
        <v>99</v>
      </c>
      <c r="C52" s="65"/>
      <c r="D52" s="65" t="s">
        <v>312</v>
      </c>
      <c r="E52" s="65"/>
      <c r="F52" s="72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64" t="s">
        <v>381</v>
      </c>
      <c r="B53" s="65" t="s">
        <v>383</v>
      </c>
      <c r="C53" s="65" t="s">
        <v>384</v>
      </c>
      <c r="D53" s="65" t="s">
        <v>385</v>
      </c>
      <c r="E53" s="65"/>
      <c r="F53" s="72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64" t="s">
        <v>386</v>
      </c>
      <c r="B54" s="65" t="s">
        <v>387</v>
      </c>
      <c r="C54" s="65" t="s">
        <v>388</v>
      </c>
      <c r="D54" s="65" t="s">
        <v>230</v>
      </c>
      <c r="E54" s="65" t="s">
        <v>150</v>
      </c>
      <c r="F54" s="72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64" t="s">
        <v>390</v>
      </c>
      <c r="B55" s="65" t="s">
        <v>134</v>
      </c>
      <c r="C55" s="65" t="s">
        <v>145</v>
      </c>
      <c r="D55" s="65" t="s">
        <v>358</v>
      </c>
      <c r="E55" s="65"/>
      <c r="F55" s="7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64" t="s">
        <v>267</v>
      </c>
      <c r="B56" s="65" t="s">
        <v>193</v>
      </c>
      <c r="C56" s="65" t="s">
        <v>165</v>
      </c>
      <c r="D56" s="65" t="s">
        <v>297</v>
      </c>
      <c r="E56" s="65"/>
      <c r="F56" s="72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76" t="s">
        <v>88</v>
      </c>
      <c r="B57" s="65" t="s">
        <v>396</v>
      </c>
      <c r="C57" s="65" t="s">
        <v>290</v>
      </c>
      <c r="D57" s="65" t="s">
        <v>397</v>
      </c>
      <c r="E57" s="65"/>
      <c r="F57" s="77" t="s">
        <v>399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76" t="s">
        <v>94</v>
      </c>
      <c r="B58" s="65" t="s">
        <v>277</v>
      </c>
      <c r="C58" s="65" t="s">
        <v>281</v>
      </c>
      <c r="D58" s="65" t="s">
        <v>298</v>
      </c>
      <c r="E58" s="65"/>
      <c r="F58" s="72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76" t="s">
        <v>39</v>
      </c>
      <c r="B59" s="65" t="s">
        <v>277</v>
      </c>
      <c r="C59" s="65"/>
      <c r="D59" s="65" t="s">
        <v>405</v>
      </c>
      <c r="E59" s="65"/>
      <c r="F59" s="72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64" t="s">
        <v>406</v>
      </c>
      <c r="B60" s="43" t="s">
        <v>407</v>
      </c>
      <c r="C60" s="65"/>
      <c r="D60" s="51" t="s">
        <v>163</v>
      </c>
      <c r="E60" s="65"/>
      <c r="F60" s="72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64" t="s">
        <v>355</v>
      </c>
      <c r="B61" s="78" t="s">
        <v>193</v>
      </c>
      <c r="C61" s="51" t="s">
        <v>193</v>
      </c>
      <c r="D61" s="43" t="s">
        <v>409</v>
      </c>
      <c r="E61" s="65"/>
      <c r="F61" s="72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64" t="s">
        <v>42</v>
      </c>
      <c r="B62" s="78" t="s">
        <v>101</v>
      </c>
      <c r="C62" s="78" t="s">
        <v>190</v>
      </c>
      <c r="D62" s="51" t="s">
        <v>133</v>
      </c>
      <c r="E62" s="65"/>
      <c r="F62" s="7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64" t="s">
        <v>413</v>
      </c>
      <c r="B63" s="78" t="s">
        <v>347</v>
      </c>
      <c r="C63" s="43" t="s">
        <v>414</v>
      </c>
      <c r="D63" s="43"/>
      <c r="E63" s="65"/>
      <c r="F63" s="72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64" t="s">
        <v>228</v>
      </c>
      <c r="B64" s="78" t="s">
        <v>203</v>
      </c>
      <c r="C64" s="43" t="s">
        <v>418</v>
      </c>
      <c r="D64" s="51" t="s">
        <v>325</v>
      </c>
      <c r="E64" s="65"/>
      <c r="F64" s="72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64" t="s">
        <v>68</v>
      </c>
      <c r="B65" s="78" t="s">
        <v>369</v>
      </c>
      <c r="C65" s="43" t="s">
        <v>321</v>
      </c>
      <c r="D65" s="43" t="s">
        <v>329</v>
      </c>
      <c r="E65" s="65"/>
      <c r="F65" s="72"/>
      <c r="G65" s="11"/>
      <c r="H65" s="12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64" t="s">
        <v>111</v>
      </c>
      <c r="B66" s="65"/>
      <c r="C66" s="43" t="s">
        <v>280</v>
      </c>
      <c r="D66" s="87"/>
      <c r="E66" s="65" t="s">
        <v>150</v>
      </c>
      <c r="F66" s="77" t="s">
        <v>424</v>
      </c>
      <c r="G66" s="11"/>
      <c r="H66" s="12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64" t="s">
        <v>429</v>
      </c>
      <c r="B67" s="43" t="s">
        <v>431</v>
      </c>
      <c r="C67" s="78" t="s">
        <v>375</v>
      </c>
      <c r="D67" s="51" t="s">
        <v>165</v>
      </c>
      <c r="E67" s="65"/>
      <c r="F67" s="72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64" t="s">
        <v>109</v>
      </c>
      <c r="B68" s="78" t="s">
        <v>244</v>
      </c>
      <c r="C68" s="43" t="s">
        <v>435</v>
      </c>
      <c r="D68" s="43" t="s">
        <v>436</v>
      </c>
      <c r="E68" s="65" t="s">
        <v>150</v>
      </c>
      <c r="F68" s="72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64" t="s">
        <v>333</v>
      </c>
      <c r="B69" s="65"/>
      <c r="C69" s="65"/>
      <c r="D69" s="51" t="s">
        <v>281</v>
      </c>
      <c r="E69" s="65"/>
      <c r="F69" s="77" t="s">
        <v>439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64" t="s">
        <v>442</v>
      </c>
      <c r="B70" s="65"/>
      <c r="C70" s="43" t="s">
        <v>102</v>
      </c>
      <c r="D70" s="65"/>
      <c r="E70" s="65"/>
      <c r="F70" s="7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92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9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92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9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92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92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92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92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92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92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92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9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92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92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92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92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92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92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92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92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92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92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92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9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9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92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92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9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92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92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92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92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92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92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92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92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92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92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92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92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92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92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92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92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92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92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92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92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92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92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92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92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92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92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92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92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92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92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92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92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92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92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92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92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92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92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92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92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92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92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92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92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92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92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92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92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92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92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92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92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92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92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92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92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92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92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92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92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92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92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92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92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92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92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92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92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92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92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92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92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92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92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92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92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92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92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92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92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92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92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92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92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92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92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92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92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92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92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92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92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92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92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92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92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92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92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92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9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92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92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92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92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92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92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92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92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92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92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9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92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92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92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92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92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92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92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92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92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92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92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92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92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92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92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92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92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92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92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92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92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92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92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92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92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92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92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92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92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92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92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92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92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92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92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92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92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92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92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92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92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92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92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92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92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92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92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92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92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9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9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9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9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9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92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92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92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92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92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92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92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92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92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92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92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92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92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92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92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9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9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9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9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9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9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9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9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9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9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9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9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9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9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9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9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9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9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9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9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9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9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9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9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9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9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9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9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9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9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9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9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9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9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9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9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9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9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9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9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9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9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9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9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9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9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9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9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9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92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92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9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9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9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92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92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9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9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9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9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92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9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92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9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92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92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92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92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9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92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92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9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92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92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92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92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92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92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92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92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92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92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92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92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92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92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92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92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92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92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92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92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92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92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92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92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92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92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92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92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92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92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92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92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92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92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92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92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92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92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92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92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92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92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92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92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92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92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92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92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92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92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92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92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92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92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92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92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92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92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92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92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92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92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92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92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92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92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92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92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92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92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92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92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92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92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92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92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92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92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92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92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92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92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92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92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92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92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92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92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92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92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92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92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92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92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92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92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92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92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92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92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92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92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92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92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92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92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92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92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92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92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92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92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92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92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92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92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92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92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92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92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92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92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92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92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92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92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92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92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92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92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92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92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92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92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92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92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92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92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92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92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92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92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92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92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92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92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92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92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92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92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92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92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92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92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92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92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92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92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92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92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92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92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92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92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92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92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92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92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92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92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92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92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92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92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92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92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92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92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92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92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92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92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92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92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92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92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92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92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92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92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92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92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92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92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92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92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92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92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92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92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92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92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92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92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92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92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92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92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92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92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92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92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92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92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92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92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92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92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92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92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92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92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92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92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92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92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92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92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92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92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92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92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92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92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92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92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92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92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92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92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92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92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92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92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92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92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92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92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92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92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92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92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92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92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92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92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92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92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92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92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92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92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92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92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92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92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92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92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92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92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92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92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92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92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92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92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92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92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92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92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92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92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92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92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92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92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92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92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92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92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92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92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92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92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92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92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92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92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92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92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92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92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92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92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92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92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92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92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92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92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92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92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92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92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92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92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92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92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92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92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92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92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92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92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92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92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92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92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92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92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92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92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92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92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92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92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92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92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92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92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92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92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92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92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92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92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92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92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92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92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92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92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92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92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92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92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92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92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92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92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92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92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92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92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92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92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92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92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92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92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92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92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92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92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92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92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92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92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92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92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92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92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92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92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92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92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92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92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92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92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92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92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92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92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92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92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92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92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92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92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92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92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92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92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92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92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92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92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92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92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92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92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92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92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92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92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92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92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92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92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92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92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92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92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92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92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92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92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92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92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92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92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92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92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92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92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92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92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92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92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92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92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92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92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92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92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92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92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92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92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92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92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92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92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92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92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92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92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92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92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92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92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92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92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92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92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92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92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92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92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92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92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92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92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92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92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92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92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92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92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92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92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92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92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92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92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92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92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92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92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92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92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92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92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92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92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92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92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92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92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92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92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92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92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92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92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92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92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92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92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92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92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92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92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92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92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92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92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92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92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92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92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92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92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92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92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92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92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92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92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92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92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92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92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92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92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92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92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92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92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92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92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92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92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92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92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92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92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92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92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92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92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92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92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92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92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92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92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92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92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92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92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92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92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92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92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92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92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92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92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92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92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92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92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92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92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92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92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92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92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92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92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92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92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92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92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92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92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92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92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92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92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92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92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92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92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92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92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92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92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92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92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92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92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92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92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92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92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92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92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92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92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92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92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92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92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92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92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92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</sheetData>
  <conditionalFormatting sqref="B57:D57">
    <cfRule type="expression" dxfId="5" priority="1">
      <formula>AND(NOT(ISBLANK(B57)), SUMPRODUCT(TRIM(IFERROR(REGEXEXTRACT(B$2:B$75, "^[^(]+"), B$2:B$75))=TRIM(IFERROR(REGEXEXTRACT(B57, "^[^(]+"), B57)))&gt;1, SUMPRODUCT(TRIM(IFERROR(REGEXEXTRACT($B$2:B$75, "^[^(]+"), $B$2:B$75))=TRIM(IFERROR(REGEXEXTRACT(B57, "^[^(]+"), B57)))=SUMPRODUCT(TRIM(IFERROR(REGEXEXTRACT(B$2:B$75, "^[^(]+"), B$2:B$75))=TRIM(IFERROR(REGEXEXTRACT(B57, "^[^(]+"), B57))))</formula>
    </cfRule>
  </conditionalFormatting>
  <conditionalFormatting sqref="B55:D55">
    <cfRule type="expression" dxfId="5" priority="2">
      <formula>AND(NOT(ISBLANK(B55)), SUMPRODUCT(TRIM(IFERROR(REGEXEXTRACT(B$2:B$76, "^[^(]+"), B$2:B$76))=TRIM(IFERROR(REGEXEXTRACT(B55, "^[^(]+"), B55)))&gt;1, SUMPRODUCT(TRIM(IFERROR(REGEXEXTRACT($B$2:B$76, "^[^(]+"), $B$2:B$76))=TRIM(IFERROR(REGEXEXTRACT(B55, "^[^(]+"), B55)))=SUMPRODUCT(TRIM(IFERROR(REGEXEXTRACT(B$2:B$76, "^[^(]+"), B$2:B$76))=TRIM(IFERROR(REGEXEXTRACT(B55, "^[^(]+"), B55))))</formula>
    </cfRule>
  </conditionalFormatting>
  <conditionalFormatting sqref="B54:D54 B56:D56 B58:D59">
    <cfRule type="expression" dxfId="5" priority="3">
      <formula>AND(NOT(ISBLANK(B54)), SUMPRODUCT(TRIM(IFERROR(REGEXEXTRACT(B$2:B$77, "^[^(]+"), B$2:B$77))=TRIM(IFERROR(REGEXEXTRACT(B54, "^[^(]+"), B54)))&gt;1, SUMPRODUCT(TRIM(IFERROR(REGEXEXTRACT($B$2:B$77, "^[^(]+"), $B$2:B$77))=TRIM(IFERROR(REGEXEXTRACT(B54, "^[^(]+"), B54)))=SUMPRODUCT(TRIM(IFERROR(REGEXEXTRACT(B$2:B$77, "^[^(]+"), B$2:B$77))=TRIM(IFERROR(REGEXEXTRACT(B54, "^[^(]+"), B54))))</formula>
    </cfRule>
  </conditionalFormatting>
  <conditionalFormatting sqref="B53:D53 B58:D58">
    <cfRule type="expression" dxfId="5" priority="4">
      <formula>AND(NOT(ISBLANK(B53)), SUMPRODUCT(TRIM(IFERROR(REGEXEXTRACT(B$2:B$78, "^[^(]+"), B$2:B$78))=TRIM(IFERROR(REGEXEXTRACT(B53, "^[^(]+"), B53)))&gt;1, SUMPRODUCT(TRIM(IFERROR(REGEXEXTRACT($B$2:B$78, "^[^(]+"), $B$2:B$78))=TRIM(IFERROR(REGEXEXTRACT(B53, "^[^(]+"), B53)))=SUMPRODUCT(TRIM(IFERROR(REGEXEXTRACT(B$2:B$78, "^[^(]+"), B$2:B$78))=TRIM(IFERROR(REGEXEXTRACT(B53, "^[^(]+"), B53))))</formula>
    </cfRule>
  </conditionalFormatting>
  <conditionalFormatting sqref="B52:D52">
    <cfRule type="expression" dxfId="5" priority="5">
      <formula>AND(NOT(ISBLANK(B52)), SUMPRODUCT(TRIM(IFERROR(REGEXEXTRACT(B$2:B$79, "^[^(]+"), B$2:B$79))=TRIM(IFERROR(REGEXEXTRACT(B52, "^[^(]+"), B52)))&gt;1, SUMPRODUCT(TRIM(IFERROR(REGEXEXTRACT($B$2:B$79, "^[^(]+"), $B$2:B$79))=TRIM(IFERROR(REGEXEXTRACT(B52, "^[^(]+"), B52)))=SUMPRODUCT(TRIM(IFERROR(REGEXEXTRACT(B$2:B$79, "^[^(]+"), B$2:B$79))=TRIM(IFERROR(REGEXEXTRACT(B52, "^[^(]+"), B52))))</formula>
    </cfRule>
  </conditionalFormatting>
  <conditionalFormatting sqref="B51:D51">
    <cfRule type="expression" dxfId="5" priority="6">
      <formula>AND(NOT(ISBLANK(B51)), SUMPRODUCT(TRIM(IFERROR(REGEXEXTRACT(B$2:B$80, "^[^(]+"), B$2:B$80))=TRIM(IFERROR(REGEXEXTRACT(B51, "^[^(]+"), B51)))&gt;1, SUMPRODUCT(TRIM(IFERROR(REGEXEXTRACT($B$2:B$80, "^[^(]+"), $B$2:B$80))=TRIM(IFERROR(REGEXEXTRACT(B51, "^[^(]+"), B51)))=SUMPRODUCT(TRIM(IFERROR(REGEXEXTRACT(B$2:B$80, "^[^(]+"), B$2:B$80))=TRIM(IFERROR(REGEXEXTRACT(B51, "^[^(]+"), B51))))</formula>
    </cfRule>
  </conditionalFormatting>
  <conditionalFormatting sqref="B49:D50">
    <cfRule type="expression" dxfId="5" priority="7">
      <formula>AND(NOT(ISBLANK(B49)), SUMPRODUCT(TRIM(IFERROR(REGEXEXTRACT(B$2:B$81, "^[^(]+"), B$2:B$81))=TRIM(IFERROR(REGEXEXTRACT(B49, "^[^(]+"), B49)))&gt;1, SUMPRODUCT(TRIM(IFERROR(REGEXEXTRACT($B$2:B$81, "^[^(]+"), $B$2:B$81))=TRIM(IFERROR(REGEXEXTRACT(B49, "^[^(]+"), B49)))=SUMPRODUCT(TRIM(IFERROR(REGEXEXTRACT(B$2:B$81, "^[^(]+"), B$2:B$81))=TRIM(IFERROR(REGEXEXTRACT(B49, "^[^(]+"), B49))))</formula>
    </cfRule>
  </conditionalFormatting>
  <conditionalFormatting sqref="B48:D48">
    <cfRule type="expression" dxfId="5" priority="8">
      <formula>AND(NOT(ISBLANK(B48)), SUMPRODUCT(TRIM(IFERROR(REGEXEXTRACT(B$2:B$82, "^[^(]+"), B$2:B$82))=TRIM(IFERROR(REGEXEXTRACT(B48, "^[^(]+"), B48)))&gt;1, SUMPRODUCT(TRIM(IFERROR(REGEXEXTRACT($B$2:B$82, "^[^(]+"), $B$2:B$82))=TRIM(IFERROR(REGEXEXTRACT(B48, "^[^(]+"), B48)))=SUMPRODUCT(TRIM(IFERROR(REGEXEXTRACT(B$2:B$82, "^[^(]+"), B$2:B$82))=TRIM(IFERROR(REGEXEXTRACT(B48, "^[^(]+"), B48))))</formula>
    </cfRule>
  </conditionalFormatting>
  <conditionalFormatting sqref="B47:D47">
    <cfRule type="expression" dxfId="5" priority="9">
      <formula>AND(NOT(ISBLANK(B47)), SUMPRODUCT(TRIM(IFERROR(REGEXEXTRACT(B$2:B$83, "^[^(]+"), B$2:B$83))=TRIM(IFERROR(REGEXEXTRACT(B47, "^[^(]+"), B47)))&gt;1, SUMPRODUCT(TRIM(IFERROR(REGEXEXTRACT($B$2:B$83, "^[^(]+"), $B$2:B$83))=TRIM(IFERROR(REGEXEXTRACT(B47, "^[^(]+"), B47)))=SUMPRODUCT(TRIM(IFERROR(REGEXEXTRACT(B$2:B$83, "^[^(]+"), B$2:B$83))=TRIM(IFERROR(REGEXEXTRACT(B47, "^[^(]+"), B47))))</formula>
    </cfRule>
  </conditionalFormatting>
  <conditionalFormatting sqref="B46:D46">
    <cfRule type="expression" dxfId="5" priority="10">
      <formula>AND(NOT(ISBLANK(B46)), SUMPRODUCT(TRIM(IFERROR(REGEXEXTRACT(B$2:B$84, "^[^(]+"), B$2:B$84))=TRIM(IFERROR(REGEXEXTRACT(B46, "^[^(]+"), B46)))&gt;1, SUMPRODUCT(TRIM(IFERROR(REGEXEXTRACT($B$2:B$84, "^[^(]+"), $B$2:B$84))=TRIM(IFERROR(REGEXEXTRACT(B46, "^[^(]+"), B46)))=SUMPRODUCT(TRIM(IFERROR(REGEXEXTRACT(B$2:B$84, "^[^(]+"), B$2:B$84))=TRIM(IFERROR(REGEXEXTRACT(B46, "^[^(]+"), B46))))</formula>
    </cfRule>
  </conditionalFormatting>
  <conditionalFormatting sqref="B45:D45">
    <cfRule type="expression" dxfId="5" priority="11">
      <formula>AND(NOT(ISBLANK(B45)), SUMPRODUCT(TRIM(IFERROR(REGEXEXTRACT(B$2:B$85, "^[^(]+"), B$2:B$85))=TRIM(IFERROR(REGEXEXTRACT(B45, "^[^(]+"), B45)))&gt;1, SUMPRODUCT(TRIM(IFERROR(REGEXEXTRACT($B$2:B$85, "^[^(]+"), $B$2:B$85))=TRIM(IFERROR(REGEXEXTRACT(B45, "^[^(]+"), B45)))=SUMPRODUCT(TRIM(IFERROR(REGEXEXTRACT(B$2:B$85, "^[^(]+"), B$2:B$85))=TRIM(IFERROR(REGEXEXTRACT(B45, "^[^(]+"), B45))))</formula>
    </cfRule>
  </conditionalFormatting>
  <conditionalFormatting sqref="B44:D44">
    <cfRule type="expression" dxfId="5" priority="12">
      <formula>AND(NOT(ISBLANK(B44)), SUMPRODUCT(TRIM(IFERROR(REGEXEXTRACT(B$2:B$86, "^[^(]+"), B$2:B$86))=TRIM(IFERROR(REGEXEXTRACT(B44, "^[^(]+"), B44)))&gt;1, SUMPRODUCT(TRIM(IFERROR(REGEXEXTRACT($B$2:B$86, "^[^(]+"), $B$2:B$86))=TRIM(IFERROR(REGEXEXTRACT(B44, "^[^(]+"), B44)))=SUMPRODUCT(TRIM(IFERROR(REGEXEXTRACT(B$2:B$86, "^[^(]+"), B$2:B$86))=TRIM(IFERROR(REGEXEXTRACT(B44, "^[^(]+"), B44))))</formula>
    </cfRule>
  </conditionalFormatting>
  <conditionalFormatting sqref="B43:D43">
    <cfRule type="expression" dxfId="5" priority="13">
      <formula>AND(NOT(ISBLANK(B43)), SUMPRODUCT(TRIM(IFERROR(REGEXEXTRACT(B$2:B$87, "^[^(]+"), B$2:B$87))=TRIM(IFERROR(REGEXEXTRACT(B43, "^[^(]+"), B43)))&gt;1, SUMPRODUCT(TRIM(IFERROR(REGEXEXTRACT($B$2:B$87, "^[^(]+"), $B$2:B$87))=TRIM(IFERROR(REGEXEXTRACT(B43, "^[^(]+"), B43)))=SUMPRODUCT(TRIM(IFERROR(REGEXEXTRACT(B$2:B$87, "^[^(]+"), B$2:B$87))=TRIM(IFERROR(REGEXEXTRACT(B43, "^[^(]+"), B43))))</formula>
    </cfRule>
  </conditionalFormatting>
  <conditionalFormatting sqref="B42:D42">
    <cfRule type="expression" dxfId="5" priority="14">
      <formula>AND(NOT(ISBLANK(B42)), SUMPRODUCT(TRIM(IFERROR(REGEXEXTRACT(B$2:B$88, "^[^(]+"), B$2:B$88))=TRIM(IFERROR(REGEXEXTRACT(B42, "^[^(]+"), B42)))&gt;1, SUMPRODUCT(TRIM(IFERROR(REGEXEXTRACT($B$2:B$88, "^[^(]+"), $B$2:B$88))=TRIM(IFERROR(REGEXEXTRACT(B42, "^[^(]+"), B42)))=SUMPRODUCT(TRIM(IFERROR(REGEXEXTRACT(B$2:B$88, "^[^(]+"), B$2:B$88))=TRIM(IFERROR(REGEXEXTRACT(B42, "^[^(]+"), B42))))</formula>
    </cfRule>
  </conditionalFormatting>
  <conditionalFormatting sqref="B41:D41">
    <cfRule type="expression" dxfId="5" priority="15">
      <formula>AND(NOT(ISBLANK(B41)), SUMPRODUCT(TRIM(IFERROR(REGEXEXTRACT(B$2:B$89, "^[^(]+"), B$2:B$89))=TRIM(IFERROR(REGEXEXTRACT(B41, "^[^(]+"), B41)))&gt;1, SUMPRODUCT(TRIM(IFERROR(REGEXEXTRACT($B$2:B$89, "^[^(]+"), $B$2:B$89))=TRIM(IFERROR(REGEXEXTRACT(B41, "^[^(]+"), B41)))=SUMPRODUCT(TRIM(IFERROR(REGEXEXTRACT(B$2:B$89, "^[^(]+"), B$2:B$89))=TRIM(IFERROR(REGEXEXTRACT(B41, "^[^(]+"), B41))))</formula>
    </cfRule>
  </conditionalFormatting>
  <conditionalFormatting sqref="B40:D40">
    <cfRule type="expression" dxfId="5" priority="16">
      <formula>AND(NOT(ISBLANK(B40)), SUMPRODUCT(TRIM(IFERROR(REGEXEXTRACT(B$2:B$90, "^[^(]+"), B$2:B$90))=TRIM(IFERROR(REGEXEXTRACT(B40, "^[^(]+"), B40)))&gt;1, SUMPRODUCT(TRIM(IFERROR(REGEXEXTRACT($B$2:B$90, "^[^(]+"), $B$2:B$90))=TRIM(IFERROR(REGEXEXTRACT(B40, "^[^(]+"), B40)))=SUMPRODUCT(TRIM(IFERROR(REGEXEXTRACT(B$2:B$90, "^[^(]+"), B$2:B$90))=TRIM(IFERROR(REGEXEXTRACT(B40, "^[^(]+"), B40))))</formula>
    </cfRule>
  </conditionalFormatting>
  <conditionalFormatting sqref="B39:D39">
    <cfRule type="expression" dxfId="5" priority="17">
      <formula>AND(NOT(ISBLANK(B39)), SUMPRODUCT(TRIM(IFERROR(REGEXEXTRACT(B$2:B$91, "^[^(]+"), B$2:B$91))=TRIM(IFERROR(REGEXEXTRACT(B39, "^[^(]+"), B39)))&gt;1, SUMPRODUCT(TRIM(IFERROR(REGEXEXTRACT($B$2:B$91, "^[^(]+"), $B$2:B$91))=TRIM(IFERROR(REGEXEXTRACT(B39, "^[^(]+"), B39)))=SUMPRODUCT(TRIM(IFERROR(REGEXEXTRACT(B$2:B$91, "^[^(]+"), B$2:B$91))=TRIM(IFERROR(REGEXEXTRACT(B39, "^[^(]+"), B39))))</formula>
    </cfRule>
  </conditionalFormatting>
  <conditionalFormatting sqref="B38:D38">
    <cfRule type="expression" dxfId="5" priority="18">
      <formula>AND(NOT(ISBLANK(B38)), SUMPRODUCT(TRIM(IFERROR(REGEXEXTRACT(B$2:B$92, "^[^(]+"), B$2:B$92))=TRIM(IFERROR(REGEXEXTRACT(B38, "^[^(]+"), B38)))&gt;1, SUMPRODUCT(TRIM(IFERROR(REGEXEXTRACT($B$2:B$92, "^[^(]+"), $B$2:B$92))=TRIM(IFERROR(REGEXEXTRACT(B38, "^[^(]+"), B38)))=SUMPRODUCT(TRIM(IFERROR(REGEXEXTRACT(B$2:B$92, "^[^(]+"), B$2:B$92))=TRIM(IFERROR(REGEXEXTRACT(B38, "^[^(]+"), B38))))</formula>
    </cfRule>
  </conditionalFormatting>
  <conditionalFormatting sqref="B37:D37">
    <cfRule type="expression" dxfId="5" priority="19">
      <formula>AND(NOT(ISBLANK(B37)), SUMPRODUCT(TRIM(IFERROR(REGEXEXTRACT(B$2:B$93, "^[^(]+"), B$2:B$93))=TRIM(IFERROR(REGEXEXTRACT(B37, "^[^(]+"), B37)))&gt;1, SUMPRODUCT(TRIM(IFERROR(REGEXEXTRACT($B$2:B$93, "^[^(]+"), $B$2:B$93))=TRIM(IFERROR(REGEXEXTRACT(B37, "^[^(]+"), B37)))=SUMPRODUCT(TRIM(IFERROR(REGEXEXTRACT(B$2:B$93, "^[^(]+"), B$2:B$93))=TRIM(IFERROR(REGEXEXTRACT(B37, "^[^(]+"), B37))))</formula>
    </cfRule>
  </conditionalFormatting>
  <conditionalFormatting sqref="B35:D36">
    <cfRule type="expression" dxfId="5" priority="20">
      <formula>AND(NOT(ISBLANK(B35)), SUMPRODUCT(TRIM(IFERROR(REGEXEXTRACT(B$2:B$95, "^[^(]+"), B$2:B$95))=TRIM(IFERROR(REGEXEXTRACT(B35, "^[^(]+"), B35)))&gt;1, SUMPRODUCT(TRIM(IFERROR(REGEXEXTRACT($B$2:B$95, "^[^(]+"), $B$2:B$95))=TRIM(IFERROR(REGEXEXTRACT(B35, "^[^(]+"), B35)))=SUMPRODUCT(TRIM(IFERROR(REGEXEXTRACT(B$2:B$95, "^[^(]+"), B$2:B$95))=TRIM(IFERROR(REGEXEXTRACT(B35, "^[^(]+"), B35))))</formula>
    </cfRule>
  </conditionalFormatting>
  <conditionalFormatting sqref="B34:D34">
    <cfRule type="expression" dxfId="5" priority="21">
      <formula>AND(NOT(ISBLANK(B34)), SUMPRODUCT(TRIM(IFERROR(REGEXEXTRACT(B$2:B$96, "^[^(]+"), B$2:B$96))=TRIM(IFERROR(REGEXEXTRACT(B34, "^[^(]+"), B34)))&gt;1, SUMPRODUCT(TRIM(IFERROR(REGEXEXTRACT($B$2:B$96, "^[^(]+"), $B$2:B$96))=TRIM(IFERROR(REGEXEXTRACT(B34, "^[^(]+"), B34)))=SUMPRODUCT(TRIM(IFERROR(REGEXEXTRACT(B$2:B$96, "^[^(]+"), B$2:B$96))=TRIM(IFERROR(REGEXEXTRACT(B34, "^[^(]+"), B34))))</formula>
    </cfRule>
  </conditionalFormatting>
  <conditionalFormatting sqref="B32:D33">
    <cfRule type="expression" dxfId="5" priority="22">
      <formula>AND(NOT(ISBLANK(B32)), SUMPRODUCT(TRIM(IFERROR(REGEXEXTRACT(B$2:B$98, "^[^(]+"), B$2:B$98))=TRIM(IFERROR(REGEXEXTRACT(B32, "^[^(]+"), B32)))&gt;1, SUMPRODUCT(TRIM(IFERROR(REGEXEXTRACT($B$2:B$98, "^[^(]+"), $B$2:B$98))=TRIM(IFERROR(REGEXEXTRACT(B32, "^[^(]+"), B32)))=SUMPRODUCT(TRIM(IFERROR(REGEXEXTRACT(B$2:B$98, "^[^(]+"), B$2:B$98))=TRIM(IFERROR(REGEXEXTRACT(B32, "^[^(]+"), B32))))</formula>
    </cfRule>
  </conditionalFormatting>
  <conditionalFormatting sqref="B31:D31">
    <cfRule type="expression" dxfId="5" priority="23">
      <formula>AND(NOT(ISBLANK(B31)), SUMPRODUCT(TRIM(IFERROR(REGEXEXTRACT(B$2:B$99, "^[^(]+"), B$2:B$99))=TRIM(IFERROR(REGEXEXTRACT(B31, "^[^(]+"), B31)))&gt;1, SUMPRODUCT(TRIM(IFERROR(REGEXEXTRACT($B$2:B$99, "^[^(]+"), $B$2:B$99))=TRIM(IFERROR(REGEXEXTRACT(B31, "^[^(]+"), B31)))=SUMPRODUCT(TRIM(IFERROR(REGEXEXTRACT(B$2:B$99, "^[^(]+"), B$2:B$99))=TRIM(IFERROR(REGEXEXTRACT(B31, "^[^(]+"), B31))))</formula>
    </cfRule>
  </conditionalFormatting>
  <conditionalFormatting sqref="A1:AA1">
    <cfRule type="colorScale" priority="24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4" width="32.25"/>
  </cols>
  <sheetData>
    <row r="1">
      <c r="A1" s="2"/>
      <c r="B1" s="2"/>
      <c r="C1" s="2"/>
      <c r="D1" s="2"/>
      <c r="E1" s="2"/>
      <c r="F1" s="2"/>
      <c r="G1" s="3" t="s">
        <v>10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4" t="s">
        <v>24</v>
      </c>
      <c r="C2" s="5" t="s">
        <v>30</v>
      </c>
      <c r="D2" s="5" t="s">
        <v>33</v>
      </c>
      <c r="E2" s="4" t="s">
        <v>35</v>
      </c>
      <c r="F2" s="5"/>
      <c r="G2" s="4" t="s">
        <v>38</v>
      </c>
      <c r="H2" s="6" t="s">
        <v>41</v>
      </c>
      <c r="I2" s="4" t="s">
        <v>43</v>
      </c>
      <c r="J2" s="4" t="s">
        <v>45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8" t="s">
        <v>32</v>
      </c>
      <c r="C3" s="14" t="s">
        <v>82</v>
      </c>
      <c r="D3" s="16" t="s">
        <v>92</v>
      </c>
      <c r="E3" s="17" t="b">
        <v>0</v>
      </c>
      <c r="F3" s="2"/>
      <c r="G3" s="19" t="b">
        <v>0</v>
      </c>
      <c r="H3" s="20" t="b">
        <v>0</v>
      </c>
      <c r="I3" s="20" t="b">
        <v>0</v>
      </c>
      <c r="J3" s="17" t="b"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3" t="s">
        <v>122</v>
      </c>
      <c r="C4" s="25" t="s">
        <v>82</v>
      </c>
      <c r="D4" s="27" t="s">
        <v>92</v>
      </c>
      <c r="E4" s="28" t="b">
        <v>0</v>
      </c>
      <c r="F4" s="2"/>
      <c r="G4" s="29" t="b">
        <v>0</v>
      </c>
      <c r="H4" s="30" t="b">
        <v>0</v>
      </c>
      <c r="I4" s="30" t="b">
        <v>0</v>
      </c>
      <c r="J4" s="28" t="b"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3" t="s">
        <v>136</v>
      </c>
      <c r="C5" s="25" t="s">
        <v>82</v>
      </c>
      <c r="D5" s="27" t="s">
        <v>92</v>
      </c>
      <c r="E5" s="28" t="b">
        <v>0</v>
      </c>
      <c r="F5" s="2"/>
      <c r="G5" s="29" t="b">
        <v>0</v>
      </c>
      <c r="H5" s="30" t="b">
        <v>0</v>
      </c>
      <c r="I5" s="30" t="b">
        <v>0</v>
      </c>
      <c r="J5" s="28" t="b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3" t="s">
        <v>146</v>
      </c>
      <c r="C6" s="25"/>
      <c r="D6" s="27"/>
      <c r="E6" s="36" t="b">
        <v>0</v>
      </c>
      <c r="F6" s="2"/>
      <c r="G6" s="29" t="b">
        <v>0</v>
      </c>
      <c r="H6" s="30" t="b">
        <v>0</v>
      </c>
      <c r="I6" s="30" t="b">
        <v>0</v>
      </c>
      <c r="J6" s="28" t="b"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3" t="s">
        <v>158</v>
      </c>
      <c r="C7" s="25" t="s">
        <v>82</v>
      </c>
      <c r="D7" s="27" t="s">
        <v>160</v>
      </c>
      <c r="E7" s="28" t="b">
        <v>0</v>
      </c>
      <c r="F7" s="2"/>
      <c r="G7" s="29" t="b">
        <v>0</v>
      </c>
      <c r="H7" s="30" t="b">
        <v>0</v>
      </c>
      <c r="I7" s="30" t="b">
        <v>0</v>
      </c>
      <c r="J7" s="28" t="b"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3" t="s">
        <v>170</v>
      </c>
      <c r="C8" s="25" t="s">
        <v>172</v>
      </c>
      <c r="D8" s="27" t="s">
        <v>174</v>
      </c>
      <c r="E8" s="28" t="b">
        <v>0</v>
      </c>
      <c r="F8" s="2"/>
      <c r="G8" s="29" t="b">
        <v>0</v>
      </c>
      <c r="H8" s="30" t="b">
        <v>0</v>
      </c>
      <c r="I8" s="30" t="b">
        <v>0</v>
      </c>
      <c r="J8" s="28" t="b">
        <v>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3" t="s">
        <v>180</v>
      </c>
      <c r="C9" s="25" t="s">
        <v>172</v>
      </c>
      <c r="D9" s="27" t="s">
        <v>174</v>
      </c>
      <c r="E9" s="28" t="b">
        <v>0</v>
      </c>
      <c r="F9" s="2"/>
      <c r="G9" s="29" t="b">
        <v>0</v>
      </c>
      <c r="H9" s="30" t="b">
        <v>0</v>
      </c>
      <c r="I9" s="30" t="b">
        <v>0</v>
      </c>
      <c r="J9" s="28" t="b">
        <v>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3" t="s">
        <v>26</v>
      </c>
      <c r="C10" s="25" t="s">
        <v>172</v>
      </c>
      <c r="D10" s="27" t="s">
        <v>174</v>
      </c>
      <c r="E10" s="28" t="b">
        <v>0</v>
      </c>
      <c r="F10" s="2"/>
      <c r="G10" s="29" t="b">
        <v>0</v>
      </c>
      <c r="H10" s="30" t="b">
        <v>0</v>
      </c>
      <c r="I10" s="30" t="b">
        <v>0</v>
      </c>
      <c r="J10" s="28" t="b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3" t="s">
        <v>191</v>
      </c>
      <c r="C11" s="25" t="s">
        <v>172</v>
      </c>
      <c r="D11" s="27" t="s">
        <v>174</v>
      </c>
      <c r="E11" s="28" t="b">
        <v>0</v>
      </c>
      <c r="F11" s="2"/>
      <c r="G11" s="29" t="b">
        <v>0</v>
      </c>
      <c r="H11" s="30" t="b">
        <v>0</v>
      </c>
      <c r="I11" s="30" t="b">
        <v>0</v>
      </c>
      <c r="J11" s="28" t="b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3" t="s">
        <v>84</v>
      </c>
      <c r="C12" s="25" t="s">
        <v>172</v>
      </c>
      <c r="D12" s="27" t="s">
        <v>174</v>
      </c>
      <c r="E12" s="28" t="b">
        <v>0</v>
      </c>
      <c r="F12" s="2"/>
      <c r="G12" s="29" t="b">
        <v>0</v>
      </c>
      <c r="H12" s="30" t="b">
        <v>0</v>
      </c>
      <c r="I12" s="30" t="b">
        <v>0</v>
      </c>
      <c r="J12" s="28" t="b"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3" t="s">
        <v>191</v>
      </c>
      <c r="C13" s="25" t="s">
        <v>172</v>
      </c>
      <c r="D13" s="27" t="s">
        <v>174</v>
      </c>
      <c r="E13" s="28" t="b">
        <v>0</v>
      </c>
      <c r="F13" s="48"/>
      <c r="G13" s="29" t="b">
        <v>0</v>
      </c>
      <c r="H13" s="30" t="b">
        <v>0</v>
      </c>
      <c r="I13" s="30" t="b">
        <v>0</v>
      </c>
      <c r="J13" s="28" t="b">
        <v>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3" t="s">
        <v>219</v>
      </c>
      <c r="C14" s="25" t="s">
        <v>172</v>
      </c>
      <c r="D14" s="27" t="s">
        <v>222</v>
      </c>
      <c r="E14" s="28" t="b">
        <v>0</v>
      </c>
      <c r="F14" s="2"/>
      <c r="G14" s="29" t="b">
        <v>0</v>
      </c>
      <c r="H14" s="30" t="b">
        <v>0</v>
      </c>
      <c r="I14" s="30" t="b">
        <v>0</v>
      </c>
      <c r="J14" s="28" t="b">
        <v>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3" t="s">
        <v>228</v>
      </c>
      <c r="C15" s="25" t="s">
        <v>172</v>
      </c>
      <c r="D15" s="27" t="s">
        <v>233</v>
      </c>
      <c r="E15" s="28" t="b">
        <v>0</v>
      </c>
      <c r="F15" s="2"/>
      <c r="G15" s="29" t="b">
        <v>0</v>
      </c>
      <c r="H15" s="30" t="b">
        <v>0</v>
      </c>
      <c r="I15" s="30" t="b">
        <v>0</v>
      </c>
      <c r="J15" s="28" t="b">
        <v>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3" t="s">
        <v>243</v>
      </c>
      <c r="C16" s="25" t="s">
        <v>172</v>
      </c>
      <c r="D16" s="27" t="s">
        <v>245</v>
      </c>
      <c r="E16" s="28" t="b">
        <v>0</v>
      </c>
      <c r="F16" s="2"/>
      <c r="G16" s="29" t="b">
        <v>0</v>
      </c>
      <c r="H16" s="30" t="b">
        <v>0</v>
      </c>
      <c r="I16" s="30" t="b">
        <v>0</v>
      </c>
      <c r="J16" s="28" t="b"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3" t="s">
        <v>97</v>
      </c>
      <c r="C17" s="25" t="s">
        <v>172</v>
      </c>
      <c r="D17" s="27" t="s">
        <v>245</v>
      </c>
      <c r="E17" s="28" t="b">
        <v>0</v>
      </c>
      <c r="F17" s="2"/>
      <c r="G17" s="29" t="b">
        <v>0</v>
      </c>
      <c r="H17" s="30" t="b">
        <v>0</v>
      </c>
      <c r="I17" s="30" t="b">
        <v>0</v>
      </c>
      <c r="J17" s="28" t="b">
        <v>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3" t="s">
        <v>29</v>
      </c>
      <c r="C18" s="25" t="s">
        <v>172</v>
      </c>
      <c r="D18" s="27" t="s">
        <v>257</v>
      </c>
      <c r="E18" s="28" t="b">
        <v>0</v>
      </c>
      <c r="F18" s="2"/>
      <c r="G18" s="29" t="b">
        <v>0</v>
      </c>
      <c r="H18" s="30" t="b">
        <v>0</v>
      </c>
      <c r="I18" s="30" t="b">
        <v>0</v>
      </c>
      <c r="J18" s="28" t="b">
        <v>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3" t="s">
        <v>258</v>
      </c>
      <c r="C19" s="25" t="s">
        <v>172</v>
      </c>
      <c r="D19" s="27" t="s">
        <v>257</v>
      </c>
      <c r="E19" s="28" t="b">
        <v>0</v>
      </c>
      <c r="F19" s="2"/>
      <c r="G19" s="29" t="b">
        <v>0</v>
      </c>
      <c r="H19" s="30" t="b">
        <v>0</v>
      </c>
      <c r="I19" s="57" t="b">
        <v>1</v>
      </c>
      <c r="J19" s="28" t="b">
        <v>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3" t="s">
        <v>267</v>
      </c>
      <c r="C20" s="25" t="s">
        <v>172</v>
      </c>
      <c r="D20" s="27" t="s">
        <v>268</v>
      </c>
      <c r="E20" s="28" t="b">
        <v>0</v>
      </c>
      <c r="F20" s="2"/>
      <c r="G20" s="29" t="b">
        <v>0</v>
      </c>
      <c r="H20" s="30" t="b">
        <v>0</v>
      </c>
      <c r="I20" s="30" t="b">
        <v>0</v>
      </c>
      <c r="J20" s="28" t="b"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3" t="s">
        <v>86</v>
      </c>
      <c r="C21" s="25" t="s">
        <v>172</v>
      </c>
      <c r="D21" s="27" t="s">
        <v>257</v>
      </c>
      <c r="E21" s="28" t="b">
        <v>0</v>
      </c>
      <c r="F21" s="2"/>
      <c r="G21" s="29" t="b">
        <v>0</v>
      </c>
      <c r="H21" s="30" t="b">
        <v>0</v>
      </c>
      <c r="I21" s="30" t="b">
        <v>0</v>
      </c>
      <c r="J21" s="28" t="b">
        <v>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3" t="s">
        <v>48</v>
      </c>
      <c r="C22" s="25" t="s">
        <v>172</v>
      </c>
      <c r="D22" s="27" t="s">
        <v>222</v>
      </c>
      <c r="E22" s="28" t="b">
        <v>0</v>
      </c>
      <c r="F22" s="2"/>
      <c r="G22" s="29" t="b">
        <v>0</v>
      </c>
      <c r="H22" s="30" t="b">
        <v>0</v>
      </c>
      <c r="I22" s="30" t="b">
        <v>0</v>
      </c>
      <c r="J22" s="28" t="b">
        <v>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3" t="s">
        <v>289</v>
      </c>
      <c r="C23" s="25" t="s">
        <v>291</v>
      </c>
      <c r="D23" s="27" t="s">
        <v>295</v>
      </c>
      <c r="E23" s="28" t="b">
        <v>0</v>
      </c>
      <c r="F23" s="2"/>
      <c r="G23" s="29" t="b">
        <v>0</v>
      </c>
      <c r="H23" s="30" t="b">
        <v>0</v>
      </c>
      <c r="I23" s="57" t="b">
        <v>1</v>
      </c>
      <c r="J23" s="28" t="b">
        <v>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3" t="s">
        <v>301</v>
      </c>
      <c r="C24" s="25"/>
      <c r="D24" s="27"/>
      <c r="E24" s="28" t="b">
        <v>0</v>
      </c>
      <c r="F24" s="2"/>
      <c r="G24" s="29" t="b">
        <v>0</v>
      </c>
      <c r="H24" s="30" t="b">
        <v>0</v>
      </c>
      <c r="I24" s="30" t="b">
        <v>0</v>
      </c>
      <c r="J24" s="28" t="b">
        <v>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3" t="s">
        <v>307</v>
      </c>
      <c r="C25" s="25" t="s">
        <v>309</v>
      </c>
      <c r="D25" s="27" t="s">
        <v>310</v>
      </c>
      <c r="E25" s="28" t="b">
        <v>0</v>
      </c>
      <c r="F25" s="2"/>
      <c r="G25" s="29" t="b">
        <v>0</v>
      </c>
      <c r="H25" s="30" t="b">
        <v>0</v>
      </c>
      <c r="I25" s="30" t="b">
        <v>0</v>
      </c>
      <c r="J25" s="28" t="b">
        <v>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3" t="s">
        <v>314</v>
      </c>
      <c r="C26" s="25" t="s">
        <v>316</v>
      </c>
      <c r="D26" s="27" t="s">
        <v>318</v>
      </c>
      <c r="E26" s="28" t="b">
        <v>0</v>
      </c>
      <c r="F26" s="2"/>
      <c r="G26" s="29" t="b">
        <v>0</v>
      </c>
      <c r="H26" s="30" t="b">
        <v>0</v>
      </c>
      <c r="I26" s="30" t="b">
        <v>0</v>
      </c>
      <c r="J26" s="28" t="b">
        <v>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3" t="s">
        <v>73</v>
      </c>
      <c r="C27" s="25" t="s">
        <v>309</v>
      </c>
      <c r="D27" s="27" t="s">
        <v>323</v>
      </c>
      <c r="E27" s="28" t="b">
        <v>0</v>
      </c>
      <c r="F27" s="2"/>
      <c r="G27" s="29" t="b">
        <v>0</v>
      </c>
      <c r="H27" s="30" t="b">
        <v>0</v>
      </c>
      <c r="I27" s="30" t="b">
        <v>0</v>
      </c>
      <c r="J27" s="28" t="b">
        <v>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3" t="s">
        <v>328</v>
      </c>
      <c r="C28" s="25" t="s">
        <v>291</v>
      </c>
      <c r="D28" s="27" t="s">
        <v>295</v>
      </c>
      <c r="E28" s="36" t="b">
        <v>0</v>
      </c>
      <c r="F28" s="2"/>
      <c r="G28" s="29" t="b">
        <v>0</v>
      </c>
      <c r="H28" s="30" t="b">
        <v>0</v>
      </c>
      <c r="I28" s="30" t="b">
        <v>0</v>
      </c>
      <c r="J28" s="28" t="b">
        <v>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3" t="s">
        <v>333</v>
      </c>
      <c r="C29" s="25" t="s">
        <v>309</v>
      </c>
      <c r="D29" s="27" t="s">
        <v>323</v>
      </c>
      <c r="E29" s="28" t="b">
        <v>0</v>
      </c>
      <c r="F29" s="2"/>
      <c r="G29" s="29" t="b">
        <v>0</v>
      </c>
      <c r="H29" s="30" t="b">
        <v>0</v>
      </c>
      <c r="I29" s="30" t="b">
        <v>0</v>
      </c>
      <c r="J29" s="28" t="b">
        <v>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3" t="s">
        <v>59</v>
      </c>
      <c r="C30" s="25" t="s">
        <v>309</v>
      </c>
      <c r="D30" s="27" t="s">
        <v>323</v>
      </c>
      <c r="E30" s="28" t="b">
        <v>0</v>
      </c>
      <c r="F30" s="2"/>
      <c r="G30" s="29" t="b">
        <v>0</v>
      </c>
      <c r="H30" s="30" t="b">
        <v>0</v>
      </c>
      <c r="I30" s="30" t="b">
        <v>0</v>
      </c>
      <c r="J30" s="28" t="b">
        <v>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3" t="s">
        <v>54</v>
      </c>
      <c r="C31" s="25" t="s">
        <v>309</v>
      </c>
      <c r="D31" s="27" t="s">
        <v>348</v>
      </c>
      <c r="E31" s="28" t="b">
        <v>0</v>
      </c>
      <c r="F31" s="2"/>
      <c r="G31" s="29" t="b">
        <v>0</v>
      </c>
      <c r="H31" s="30" t="b">
        <v>0</v>
      </c>
      <c r="I31" s="30" t="b">
        <v>0</v>
      </c>
      <c r="J31" s="28" t="b">
        <v>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3" t="s">
        <v>351</v>
      </c>
      <c r="C32" s="25" t="s">
        <v>309</v>
      </c>
      <c r="D32" s="27" t="s">
        <v>348</v>
      </c>
      <c r="E32" s="28" t="b">
        <v>0</v>
      </c>
      <c r="F32" s="2"/>
      <c r="G32" s="29" t="b">
        <v>0</v>
      </c>
      <c r="H32" s="30" t="b">
        <v>0</v>
      </c>
      <c r="I32" s="30" t="b">
        <v>0</v>
      </c>
      <c r="J32" s="28" t="b"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3" t="s">
        <v>355</v>
      </c>
      <c r="C33" s="25" t="s">
        <v>309</v>
      </c>
      <c r="D33" s="27" t="s">
        <v>348</v>
      </c>
      <c r="E33" s="28" t="b">
        <v>0</v>
      </c>
      <c r="F33" s="2"/>
      <c r="G33" s="29" t="b">
        <v>0</v>
      </c>
      <c r="H33" s="30" t="b">
        <v>0</v>
      </c>
      <c r="I33" s="30" t="b">
        <v>0</v>
      </c>
      <c r="J33" s="28" t="b">
        <v>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3" t="s">
        <v>89</v>
      </c>
      <c r="C34" s="25" t="s">
        <v>309</v>
      </c>
      <c r="D34" s="27" t="s">
        <v>348</v>
      </c>
      <c r="E34" s="28" t="b">
        <v>0</v>
      </c>
      <c r="F34" s="2"/>
      <c r="G34" s="29" t="b">
        <v>0</v>
      </c>
      <c r="H34" s="30" t="b">
        <v>0</v>
      </c>
      <c r="I34" s="30" t="b">
        <v>0</v>
      </c>
      <c r="J34" s="28" t="b">
        <v>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3" t="s">
        <v>366</v>
      </c>
      <c r="C35" s="25" t="s">
        <v>309</v>
      </c>
      <c r="D35" s="27" t="s">
        <v>348</v>
      </c>
      <c r="E35" s="28" t="b">
        <v>0</v>
      </c>
      <c r="F35" s="2"/>
      <c r="G35" s="29" t="b">
        <v>0</v>
      </c>
      <c r="H35" s="30" t="b">
        <v>0</v>
      </c>
      <c r="I35" s="30" t="b">
        <v>0</v>
      </c>
      <c r="J35" s="28" t="b">
        <v>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3" t="s">
        <v>69</v>
      </c>
      <c r="C36" s="25" t="s">
        <v>309</v>
      </c>
      <c r="D36" s="27" t="s">
        <v>373</v>
      </c>
      <c r="E36" s="28" t="b">
        <v>0</v>
      </c>
      <c r="F36" s="2"/>
      <c r="G36" s="29" t="b">
        <v>0</v>
      </c>
      <c r="H36" s="30" t="b">
        <v>0</v>
      </c>
      <c r="I36" s="30" t="b">
        <v>0</v>
      </c>
      <c r="J36" s="28" t="b"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3" t="s">
        <v>377</v>
      </c>
      <c r="C37" s="25" t="s">
        <v>309</v>
      </c>
      <c r="D37" s="27" t="s">
        <v>373</v>
      </c>
      <c r="E37" s="28" t="b">
        <v>0</v>
      </c>
      <c r="F37" s="2"/>
      <c r="G37" s="29" t="b">
        <v>0</v>
      </c>
      <c r="H37" s="30" t="b">
        <v>0</v>
      </c>
      <c r="I37" s="30" t="b">
        <v>0</v>
      </c>
      <c r="J37" s="28" t="b">
        <v>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3" t="s">
        <v>382</v>
      </c>
      <c r="C38" s="25" t="s">
        <v>309</v>
      </c>
      <c r="D38" s="27" t="s">
        <v>373</v>
      </c>
      <c r="E38" s="28" t="b">
        <v>0</v>
      </c>
      <c r="F38" s="2"/>
      <c r="G38" s="29" t="b">
        <v>0</v>
      </c>
      <c r="H38" s="30" t="b">
        <v>0</v>
      </c>
      <c r="I38" s="30" t="b">
        <v>0</v>
      </c>
      <c r="J38" s="28" t="b">
        <v>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3" t="s">
        <v>389</v>
      </c>
      <c r="C39" s="25" t="s">
        <v>309</v>
      </c>
      <c r="D39" s="27" t="s">
        <v>373</v>
      </c>
      <c r="E39" s="28" t="b">
        <v>0</v>
      </c>
      <c r="F39" s="2"/>
      <c r="G39" s="29" t="b">
        <v>0</v>
      </c>
      <c r="H39" s="30" t="b">
        <v>0</v>
      </c>
      <c r="I39" s="30" t="b">
        <v>0</v>
      </c>
      <c r="J39" s="28" t="b">
        <v>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3" t="s">
        <v>392</v>
      </c>
      <c r="C40" s="25" t="s">
        <v>309</v>
      </c>
      <c r="D40" s="27" t="s">
        <v>373</v>
      </c>
      <c r="E40" s="28" t="b">
        <v>0</v>
      </c>
      <c r="F40" s="2"/>
      <c r="G40" s="29" t="b">
        <v>0</v>
      </c>
      <c r="H40" s="30" t="b">
        <v>0</v>
      </c>
      <c r="I40" s="30" t="b">
        <v>0</v>
      </c>
      <c r="J40" s="28" t="b">
        <v>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3" t="s">
        <v>394</v>
      </c>
      <c r="C41" s="25" t="s">
        <v>309</v>
      </c>
      <c r="D41" s="27" t="s">
        <v>395</v>
      </c>
      <c r="E41" s="28" t="b">
        <v>0</v>
      </c>
      <c r="F41" s="2"/>
      <c r="G41" s="29" t="b">
        <v>0</v>
      </c>
      <c r="H41" s="30" t="b">
        <v>0</v>
      </c>
      <c r="I41" s="30" t="b">
        <v>0</v>
      </c>
      <c r="J41" s="28" t="b">
        <v>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3" t="s">
        <v>398</v>
      </c>
      <c r="C42" s="25" t="s">
        <v>309</v>
      </c>
      <c r="D42" s="27" t="s">
        <v>400</v>
      </c>
      <c r="E42" s="28" t="b">
        <v>0</v>
      </c>
      <c r="F42" s="2"/>
      <c r="G42" s="29" t="b">
        <v>0</v>
      </c>
      <c r="H42" s="30" t="b">
        <v>0</v>
      </c>
      <c r="I42" s="30" t="b">
        <v>0</v>
      </c>
      <c r="J42" s="28" t="b">
        <v>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3" t="s">
        <v>403</v>
      </c>
      <c r="C43" s="25" t="s">
        <v>309</v>
      </c>
      <c r="D43" s="27" t="s">
        <v>310</v>
      </c>
      <c r="E43" s="28" t="b">
        <v>0</v>
      </c>
      <c r="F43" s="2"/>
      <c r="G43" s="29" t="b">
        <v>0</v>
      </c>
      <c r="H43" s="30" t="b">
        <v>0</v>
      </c>
      <c r="I43" s="30" t="b">
        <v>0</v>
      </c>
      <c r="J43" s="28" t="b">
        <v>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3" t="s">
        <v>93</v>
      </c>
      <c r="C44" s="25" t="s">
        <v>309</v>
      </c>
      <c r="D44" s="27" t="s">
        <v>310</v>
      </c>
      <c r="E44" s="28" t="b">
        <v>0</v>
      </c>
      <c r="F44" s="2"/>
      <c r="G44" s="29" t="b">
        <v>0</v>
      </c>
      <c r="H44" s="30" t="b">
        <v>0</v>
      </c>
      <c r="I44" s="30" t="b">
        <v>0</v>
      </c>
      <c r="J44" s="28" t="b">
        <v>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3" t="s">
        <v>339</v>
      </c>
      <c r="C45" s="25" t="s">
        <v>408</v>
      </c>
      <c r="D45" s="27" t="s">
        <v>410</v>
      </c>
      <c r="E45" s="28" t="b">
        <v>0</v>
      </c>
      <c r="F45" s="2"/>
      <c r="G45" s="29" t="b">
        <v>0</v>
      </c>
      <c r="H45" s="30" t="b">
        <v>0</v>
      </c>
      <c r="I45" s="30" t="b">
        <v>0</v>
      </c>
      <c r="J45" s="28" t="b">
        <v>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3" t="s">
        <v>56</v>
      </c>
      <c r="C46" s="25" t="s">
        <v>408</v>
      </c>
      <c r="D46" s="27" t="s">
        <v>411</v>
      </c>
      <c r="E46" s="28" t="b">
        <v>0</v>
      </c>
      <c r="F46" s="2"/>
      <c r="G46" s="29" t="b">
        <v>0</v>
      </c>
      <c r="H46" s="30" t="b">
        <v>0</v>
      </c>
      <c r="I46" s="30" t="b">
        <v>0</v>
      </c>
      <c r="J46" s="28" t="b">
        <v>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3" t="s">
        <v>415</v>
      </c>
      <c r="C47" s="25" t="s">
        <v>416</v>
      </c>
      <c r="D47" s="27" t="s">
        <v>417</v>
      </c>
      <c r="E47" s="28" t="b">
        <v>0</v>
      </c>
      <c r="F47" s="2"/>
      <c r="G47" s="29" t="b">
        <v>0</v>
      </c>
      <c r="H47" s="30" t="b">
        <v>0</v>
      </c>
      <c r="I47" s="30" t="b">
        <v>0</v>
      </c>
      <c r="J47" s="28" t="b">
        <v>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3" t="s">
        <v>79</v>
      </c>
      <c r="C48" s="25" t="s">
        <v>416</v>
      </c>
      <c r="D48" s="27" t="s">
        <v>417</v>
      </c>
      <c r="E48" s="28" t="b">
        <v>0</v>
      </c>
      <c r="F48" s="2"/>
      <c r="G48" s="29" t="b">
        <v>0</v>
      </c>
      <c r="H48" s="30" t="b">
        <v>0</v>
      </c>
      <c r="I48" s="30" t="b">
        <v>0</v>
      </c>
      <c r="J48" s="28" t="b">
        <v>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3" t="s">
        <v>421</v>
      </c>
      <c r="C49" s="25" t="s">
        <v>309</v>
      </c>
      <c r="D49" s="27" t="s">
        <v>323</v>
      </c>
      <c r="E49" s="84" t="b">
        <v>0</v>
      </c>
      <c r="F49" s="85"/>
      <c r="G49" s="29" t="b">
        <v>0</v>
      </c>
      <c r="H49" s="30" t="b">
        <v>0</v>
      </c>
      <c r="I49" s="30" t="b">
        <v>0</v>
      </c>
      <c r="J49" s="28" t="b">
        <v>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3" t="s">
        <v>40</v>
      </c>
      <c r="C50" s="25" t="s">
        <v>425</v>
      </c>
      <c r="D50" s="27" t="s">
        <v>427</v>
      </c>
      <c r="E50" s="28" t="b">
        <v>0</v>
      </c>
      <c r="F50" s="2"/>
      <c r="G50" s="29" t="b">
        <v>0</v>
      </c>
      <c r="H50" s="30" t="b">
        <v>0</v>
      </c>
      <c r="I50" s="30" t="b">
        <v>0</v>
      </c>
      <c r="J50" s="28" t="b">
        <v>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3" t="s">
        <v>88</v>
      </c>
      <c r="C51" s="25" t="s">
        <v>425</v>
      </c>
      <c r="D51" s="27" t="s">
        <v>427</v>
      </c>
      <c r="E51" s="28" t="b">
        <v>0</v>
      </c>
      <c r="F51" s="2"/>
      <c r="G51" s="29" t="b">
        <v>0</v>
      </c>
      <c r="H51" s="30" t="b">
        <v>0</v>
      </c>
      <c r="I51" s="30" t="b">
        <v>0</v>
      </c>
      <c r="J51" s="28" t="b">
        <v>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3" t="s">
        <v>438</v>
      </c>
      <c r="C52" s="25" t="s">
        <v>425</v>
      </c>
      <c r="D52" s="27" t="s">
        <v>427</v>
      </c>
      <c r="E52" s="28" t="b">
        <v>0</v>
      </c>
      <c r="F52" s="2"/>
      <c r="G52" s="29" t="b">
        <v>0</v>
      </c>
      <c r="H52" s="30" t="b">
        <v>0</v>
      </c>
      <c r="I52" s="30" t="b">
        <v>0</v>
      </c>
      <c r="J52" s="28" t="b">
        <v>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3" t="s">
        <v>440</v>
      </c>
      <c r="C53" s="25" t="s">
        <v>425</v>
      </c>
      <c r="D53" s="27" t="s">
        <v>441</v>
      </c>
      <c r="E53" s="28" t="b">
        <v>0</v>
      </c>
      <c r="F53" s="2"/>
      <c r="G53" s="29" t="b">
        <v>0</v>
      </c>
      <c r="H53" s="30" t="b">
        <v>0</v>
      </c>
      <c r="I53" s="30" t="b">
        <v>0</v>
      </c>
      <c r="J53" s="28" t="b">
        <v>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3" t="s">
        <v>381</v>
      </c>
      <c r="C54" s="25" t="s">
        <v>425</v>
      </c>
      <c r="D54" s="27" t="s">
        <v>441</v>
      </c>
      <c r="E54" s="28" t="b">
        <v>0</v>
      </c>
      <c r="F54" s="2"/>
      <c r="G54" s="29" t="b">
        <v>0</v>
      </c>
      <c r="H54" s="30" t="b">
        <v>0</v>
      </c>
      <c r="I54" s="30" t="b">
        <v>0</v>
      </c>
      <c r="J54" s="28" t="b">
        <v>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3" t="s">
        <v>445</v>
      </c>
      <c r="C55" s="25" t="s">
        <v>425</v>
      </c>
      <c r="D55" s="27" t="s">
        <v>441</v>
      </c>
      <c r="E55" s="28" t="b">
        <v>0</v>
      </c>
      <c r="F55" s="2"/>
      <c r="G55" s="29" t="b">
        <v>0</v>
      </c>
      <c r="H55" s="30" t="b">
        <v>0</v>
      </c>
      <c r="I55" s="30" t="b">
        <v>0</v>
      </c>
      <c r="J55" s="28" t="b">
        <v>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3" t="s">
        <v>448</v>
      </c>
      <c r="C56" s="25" t="s">
        <v>82</v>
      </c>
      <c r="D56" s="27" t="s">
        <v>449</v>
      </c>
      <c r="E56" s="28" t="b">
        <v>0</v>
      </c>
      <c r="F56" s="2"/>
      <c r="G56" s="29" t="b">
        <v>0</v>
      </c>
      <c r="H56" s="30" t="b">
        <v>0</v>
      </c>
      <c r="I56" s="30" t="b">
        <v>0</v>
      </c>
      <c r="J56" s="28" t="b">
        <v>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3" t="s">
        <v>36</v>
      </c>
      <c r="C57" s="25" t="s">
        <v>425</v>
      </c>
      <c r="D57" s="27" t="s">
        <v>441</v>
      </c>
      <c r="E57" s="28" t="b">
        <v>0</v>
      </c>
      <c r="F57" s="2"/>
      <c r="G57" s="29" t="b">
        <v>0</v>
      </c>
      <c r="H57" s="30" t="b">
        <v>0</v>
      </c>
      <c r="I57" s="30" t="b">
        <v>0</v>
      </c>
      <c r="J57" s="28" t="b">
        <v>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3" t="s">
        <v>442</v>
      </c>
      <c r="C58" s="25" t="s">
        <v>425</v>
      </c>
      <c r="D58" s="27" t="s">
        <v>441</v>
      </c>
      <c r="E58" s="28" t="b">
        <v>0</v>
      </c>
      <c r="F58" s="2"/>
      <c r="G58" s="29" t="b">
        <v>0</v>
      </c>
      <c r="H58" s="30" t="b">
        <v>0</v>
      </c>
      <c r="I58" s="30" t="b">
        <v>0</v>
      </c>
      <c r="J58" s="28" t="b">
        <v>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3" t="s">
        <v>450</v>
      </c>
      <c r="C59" s="25" t="s">
        <v>425</v>
      </c>
      <c r="D59" s="27" t="s">
        <v>451</v>
      </c>
      <c r="E59" s="28" t="b">
        <v>0</v>
      </c>
      <c r="F59" s="2"/>
      <c r="G59" s="29" t="b">
        <v>0</v>
      </c>
      <c r="H59" s="30" t="b">
        <v>0</v>
      </c>
      <c r="I59" s="30" t="b">
        <v>0</v>
      </c>
      <c r="J59" s="28" t="b">
        <v>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3" t="s">
        <v>456</v>
      </c>
      <c r="C60" s="25" t="s">
        <v>425</v>
      </c>
      <c r="D60" s="27" t="s">
        <v>457</v>
      </c>
      <c r="E60" s="28" t="b">
        <v>0</v>
      </c>
      <c r="F60" s="2"/>
      <c r="G60" s="29" t="b">
        <v>0</v>
      </c>
      <c r="H60" s="30" t="b">
        <v>0</v>
      </c>
      <c r="I60" s="30" t="b">
        <v>0</v>
      </c>
      <c r="J60" s="28" t="b">
        <v>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3" t="s">
        <v>14</v>
      </c>
      <c r="C61" s="25" t="s">
        <v>425</v>
      </c>
      <c r="D61" s="27" t="s">
        <v>457</v>
      </c>
      <c r="E61" s="28" t="b">
        <v>0</v>
      </c>
      <c r="F61" s="2"/>
      <c r="G61" s="29" t="b">
        <v>0</v>
      </c>
      <c r="H61" s="30" t="b">
        <v>0</v>
      </c>
      <c r="I61" s="30" t="b">
        <v>0</v>
      </c>
      <c r="J61" s="28" t="b">
        <v>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3" t="s">
        <v>386</v>
      </c>
      <c r="C62" s="25" t="s">
        <v>460</v>
      </c>
      <c r="D62" s="27" t="s">
        <v>462</v>
      </c>
      <c r="E62" s="28" t="b">
        <v>0</v>
      </c>
      <c r="F62" s="2"/>
      <c r="G62" s="94" t="b">
        <v>0</v>
      </c>
      <c r="H62" s="57" t="b">
        <v>0</v>
      </c>
      <c r="I62" s="57" t="b">
        <v>0</v>
      </c>
      <c r="J62" s="28" t="b">
        <v>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3" t="s">
        <v>346</v>
      </c>
      <c r="C63" s="25" t="s">
        <v>291</v>
      </c>
      <c r="D63" s="27" t="s">
        <v>295</v>
      </c>
      <c r="E63" s="28" t="b">
        <v>0</v>
      </c>
      <c r="F63" s="2"/>
      <c r="G63" s="94" t="b">
        <v>0</v>
      </c>
      <c r="H63" s="57" t="b">
        <v>0</v>
      </c>
      <c r="I63" s="57" t="b">
        <v>0</v>
      </c>
      <c r="J63" s="36" t="b">
        <v>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3" t="s">
        <v>305</v>
      </c>
      <c r="C64" s="25" t="s">
        <v>465</v>
      </c>
      <c r="D64" s="27" t="s">
        <v>466</v>
      </c>
      <c r="E64" s="28" t="b">
        <v>0</v>
      </c>
      <c r="F64" s="2"/>
      <c r="G64" s="29" t="b">
        <v>0</v>
      </c>
      <c r="H64" s="30" t="b">
        <v>0</v>
      </c>
      <c r="I64" s="30" t="b">
        <v>0</v>
      </c>
      <c r="J64" s="28" t="b">
        <v>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3" t="s">
        <v>467</v>
      </c>
      <c r="C65" s="25" t="s">
        <v>465</v>
      </c>
      <c r="D65" s="27" t="s">
        <v>468</v>
      </c>
      <c r="E65" s="28" t="b">
        <v>0</v>
      </c>
      <c r="F65" s="2"/>
      <c r="G65" s="29" t="b">
        <v>0</v>
      </c>
      <c r="H65" s="30" t="b">
        <v>0</v>
      </c>
      <c r="I65" s="30" t="b">
        <v>0</v>
      </c>
      <c r="J65" s="28" t="b">
        <v>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3" t="s">
        <v>471</v>
      </c>
      <c r="C66" s="25" t="s">
        <v>465</v>
      </c>
      <c r="D66" s="27" t="s">
        <v>468</v>
      </c>
      <c r="E66" s="28" t="b">
        <v>0</v>
      </c>
      <c r="F66" s="2"/>
      <c r="G66" s="29" t="b">
        <v>0</v>
      </c>
      <c r="H66" s="30" t="b">
        <v>0</v>
      </c>
      <c r="I66" s="30" t="b">
        <v>0</v>
      </c>
      <c r="J66" s="28" t="b">
        <v>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3" t="s">
        <v>463</v>
      </c>
      <c r="C67" s="25" t="s">
        <v>465</v>
      </c>
      <c r="D67" s="27" t="s">
        <v>468</v>
      </c>
      <c r="E67" s="28" t="b">
        <v>0</v>
      </c>
      <c r="F67" s="2"/>
      <c r="G67" s="29" t="b">
        <v>0</v>
      </c>
      <c r="H67" s="30" t="b">
        <v>0</v>
      </c>
      <c r="I67" s="30" t="b">
        <v>0</v>
      </c>
      <c r="J67" s="28" t="b">
        <v>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3" t="s">
        <v>49</v>
      </c>
      <c r="C68" s="25" t="s">
        <v>465</v>
      </c>
      <c r="D68" s="27" t="s">
        <v>476</v>
      </c>
      <c r="E68" s="28" t="b">
        <v>0</v>
      </c>
      <c r="F68" s="2"/>
      <c r="G68" s="29" t="b">
        <v>0</v>
      </c>
      <c r="H68" s="30" t="b">
        <v>0</v>
      </c>
      <c r="I68" s="30" t="b">
        <v>0</v>
      </c>
      <c r="J68" s="28" t="b">
        <v>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3" t="s">
        <v>62</v>
      </c>
      <c r="C69" s="25" t="s">
        <v>465</v>
      </c>
      <c r="D69" s="27" t="s">
        <v>477</v>
      </c>
      <c r="E69" s="28" t="b">
        <v>0</v>
      </c>
      <c r="F69" s="2"/>
      <c r="G69" s="29" t="b">
        <v>0</v>
      </c>
      <c r="H69" s="30" t="b">
        <v>0</v>
      </c>
      <c r="I69" s="30" t="b">
        <v>0</v>
      </c>
      <c r="J69" s="28" t="b">
        <v>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3" t="s">
        <v>39</v>
      </c>
      <c r="C70" s="25" t="s">
        <v>465</v>
      </c>
      <c r="D70" s="27" t="s">
        <v>477</v>
      </c>
      <c r="E70" s="28" t="b">
        <v>0</v>
      </c>
      <c r="F70" s="2"/>
      <c r="G70" s="29" t="b">
        <v>0</v>
      </c>
      <c r="H70" s="30" t="b">
        <v>0</v>
      </c>
      <c r="I70" s="30" t="b">
        <v>0</v>
      </c>
      <c r="J70" s="28" t="b">
        <v>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3" t="s">
        <v>480</v>
      </c>
      <c r="C71" s="25" t="s">
        <v>465</v>
      </c>
      <c r="D71" s="27" t="s">
        <v>481</v>
      </c>
      <c r="E71" s="28" t="b">
        <v>0</v>
      </c>
      <c r="F71" s="2"/>
      <c r="G71" s="29" t="b">
        <v>0</v>
      </c>
      <c r="H71" s="30" t="b">
        <v>0</v>
      </c>
      <c r="I71" s="30" t="b">
        <v>0</v>
      </c>
      <c r="J71" s="28" t="b">
        <v>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3" t="s">
        <v>175</v>
      </c>
      <c r="C72" s="25" t="s">
        <v>465</v>
      </c>
      <c r="D72" s="27" t="s">
        <v>483</v>
      </c>
      <c r="E72" s="28" t="b">
        <v>0</v>
      </c>
      <c r="F72" s="2"/>
      <c r="G72" s="29" t="b">
        <v>0</v>
      </c>
      <c r="H72" s="30" t="b">
        <v>0</v>
      </c>
      <c r="I72" s="30" t="b">
        <v>0</v>
      </c>
      <c r="J72" s="28" t="b">
        <v>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3" t="s">
        <v>485</v>
      </c>
      <c r="C73" s="25" t="s">
        <v>465</v>
      </c>
      <c r="D73" s="27" t="s">
        <v>483</v>
      </c>
      <c r="E73" s="28" t="b">
        <v>0</v>
      </c>
      <c r="F73" s="2"/>
      <c r="G73" s="29" t="b">
        <v>0</v>
      </c>
      <c r="H73" s="30" t="b">
        <v>0</v>
      </c>
      <c r="I73" s="30" t="b">
        <v>0</v>
      </c>
      <c r="J73" s="28" t="b">
        <v>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3" t="s">
        <v>488</v>
      </c>
      <c r="C74" s="25" t="s">
        <v>465</v>
      </c>
      <c r="D74" s="27" t="s">
        <v>483</v>
      </c>
      <c r="E74" s="28" t="b">
        <v>0</v>
      </c>
      <c r="F74" s="2"/>
      <c r="G74" s="29" t="b">
        <v>0</v>
      </c>
      <c r="H74" s="30" t="b">
        <v>0</v>
      </c>
      <c r="I74" s="30" t="b">
        <v>0</v>
      </c>
      <c r="J74" s="28" t="b">
        <v>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3" t="s">
        <v>70</v>
      </c>
      <c r="C75" s="25" t="s">
        <v>491</v>
      </c>
      <c r="D75" s="27" t="s">
        <v>493</v>
      </c>
      <c r="E75" s="28" t="b">
        <v>0</v>
      </c>
      <c r="F75" s="2"/>
      <c r="G75" s="29" t="b">
        <v>0</v>
      </c>
      <c r="H75" s="30" t="b">
        <v>0</v>
      </c>
      <c r="I75" s="30" t="b">
        <v>0</v>
      </c>
      <c r="J75" s="28" t="b">
        <v>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3" t="s">
        <v>495</v>
      </c>
      <c r="C76" s="25" t="s">
        <v>491</v>
      </c>
      <c r="D76" s="27" t="s">
        <v>493</v>
      </c>
      <c r="E76" s="28" t="b">
        <v>0</v>
      </c>
      <c r="F76" s="2"/>
      <c r="G76" s="29" t="b">
        <v>0</v>
      </c>
      <c r="H76" s="30" t="b">
        <v>0</v>
      </c>
      <c r="I76" s="30" t="b">
        <v>0</v>
      </c>
      <c r="J76" s="28" t="b">
        <v>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3" t="s">
        <v>374</v>
      </c>
      <c r="C77" s="25" t="s">
        <v>491</v>
      </c>
      <c r="D77" s="27" t="s">
        <v>493</v>
      </c>
      <c r="E77" s="28" t="b">
        <v>0</v>
      </c>
      <c r="F77" s="2"/>
      <c r="G77" s="29" t="b">
        <v>0</v>
      </c>
      <c r="H77" s="30" t="b">
        <v>0</v>
      </c>
      <c r="I77" s="30" t="b">
        <v>0</v>
      </c>
      <c r="J77" s="28" t="b">
        <v>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3" t="s">
        <v>406</v>
      </c>
      <c r="C78" s="25" t="s">
        <v>491</v>
      </c>
      <c r="D78" s="27" t="s">
        <v>493</v>
      </c>
      <c r="E78" s="28" t="b">
        <v>0</v>
      </c>
      <c r="F78" s="2"/>
      <c r="G78" s="29" t="b">
        <v>0</v>
      </c>
      <c r="H78" s="30" t="b">
        <v>0</v>
      </c>
      <c r="I78" s="30" t="b">
        <v>0</v>
      </c>
      <c r="J78" s="28" t="b">
        <v>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3" t="s">
        <v>500</v>
      </c>
      <c r="C79" s="25" t="s">
        <v>491</v>
      </c>
      <c r="D79" s="27" t="s">
        <v>493</v>
      </c>
      <c r="E79" s="28" t="b">
        <v>0</v>
      </c>
      <c r="F79" s="2"/>
      <c r="G79" s="29" t="b">
        <v>0</v>
      </c>
      <c r="H79" s="30" t="b">
        <v>0</v>
      </c>
      <c r="I79" s="30" t="b">
        <v>0</v>
      </c>
      <c r="J79" s="28" t="b">
        <v>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3" t="s">
        <v>71</v>
      </c>
      <c r="C80" s="25" t="s">
        <v>491</v>
      </c>
      <c r="D80" s="27" t="s">
        <v>502</v>
      </c>
      <c r="E80" s="28" t="b">
        <v>0</v>
      </c>
      <c r="F80" s="2"/>
      <c r="G80" s="29" t="b">
        <v>0</v>
      </c>
      <c r="H80" s="30" t="b">
        <v>0</v>
      </c>
      <c r="I80" s="30" t="b">
        <v>0</v>
      </c>
      <c r="J80" s="28" t="b">
        <v>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3" t="s">
        <v>276</v>
      </c>
      <c r="C81" s="25" t="s">
        <v>291</v>
      </c>
      <c r="D81" s="27" t="s">
        <v>505</v>
      </c>
      <c r="E81" s="28" t="b">
        <v>0</v>
      </c>
      <c r="F81" s="2"/>
      <c r="G81" s="29" t="b">
        <v>0</v>
      </c>
      <c r="H81" s="30" t="b">
        <v>0</v>
      </c>
      <c r="I81" s="30" t="b">
        <v>0</v>
      </c>
      <c r="J81" s="28" t="b">
        <v>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3" t="s">
        <v>506</v>
      </c>
      <c r="C82" s="25" t="s">
        <v>291</v>
      </c>
      <c r="D82" s="27" t="s">
        <v>505</v>
      </c>
      <c r="E82" s="28" t="b">
        <v>0</v>
      </c>
      <c r="F82" s="2"/>
      <c r="G82" s="29" t="b">
        <v>0</v>
      </c>
      <c r="H82" s="30" t="b">
        <v>0</v>
      </c>
      <c r="I82" s="30" t="b">
        <v>0</v>
      </c>
      <c r="J82" s="28" t="b">
        <v>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3" t="s">
        <v>27</v>
      </c>
      <c r="C83" s="25" t="s">
        <v>291</v>
      </c>
      <c r="D83" s="27" t="s">
        <v>505</v>
      </c>
      <c r="E83" s="28" t="b">
        <v>0</v>
      </c>
      <c r="F83" s="2"/>
      <c r="G83" s="29" t="b">
        <v>0</v>
      </c>
      <c r="H83" s="30" t="b">
        <v>0</v>
      </c>
      <c r="I83" s="30" t="b">
        <v>0</v>
      </c>
      <c r="J83" s="28" t="b">
        <v>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3" t="s">
        <v>509</v>
      </c>
      <c r="C84" s="25" t="s">
        <v>172</v>
      </c>
      <c r="D84" s="27" t="s">
        <v>233</v>
      </c>
      <c r="E84" s="28" t="b">
        <v>0</v>
      </c>
      <c r="F84" s="2"/>
      <c r="G84" s="29" t="b">
        <v>0</v>
      </c>
      <c r="H84" s="30" t="b">
        <v>0</v>
      </c>
      <c r="I84" s="30" t="b">
        <v>0</v>
      </c>
      <c r="J84" s="28" t="b">
        <v>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3" t="s">
        <v>510</v>
      </c>
      <c r="C85" s="25" t="s">
        <v>291</v>
      </c>
      <c r="D85" s="27" t="s">
        <v>511</v>
      </c>
      <c r="E85" s="28" t="b">
        <v>0</v>
      </c>
      <c r="F85" s="2"/>
      <c r="G85" s="29" t="b">
        <v>0</v>
      </c>
      <c r="H85" s="30" t="b">
        <v>0</v>
      </c>
      <c r="I85" s="30" t="b">
        <v>0</v>
      </c>
      <c r="J85" s="28" t="b">
        <v>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3" t="s">
        <v>34</v>
      </c>
      <c r="C86" s="25" t="s">
        <v>291</v>
      </c>
      <c r="D86" s="27" t="s">
        <v>295</v>
      </c>
      <c r="E86" s="36" t="b">
        <v>1</v>
      </c>
      <c r="F86" s="2"/>
      <c r="G86" s="29" t="b">
        <v>0</v>
      </c>
      <c r="H86" s="30" t="b">
        <v>0</v>
      </c>
      <c r="I86" s="30" t="b">
        <v>0</v>
      </c>
      <c r="J86" s="28" t="b">
        <v>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3" t="s">
        <v>68</v>
      </c>
      <c r="C87" s="25" t="s">
        <v>291</v>
      </c>
      <c r="D87" s="27" t="s">
        <v>295</v>
      </c>
      <c r="E87" s="28" t="b">
        <v>0</v>
      </c>
      <c r="F87" s="2"/>
      <c r="G87" s="29" t="b">
        <v>0</v>
      </c>
      <c r="H87" s="30" t="b">
        <v>0</v>
      </c>
      <c r="I87" s="30" t="b">
        <v>0</v>
      </c>
      <c r="J87" s="28" t="b">
        <v>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3" t="s">
        <v>517</v>
      </c>
      <c r="C88" s="25" t="s">
        <v>291</v>
      </c>
      <c r="D88" s="27" t="s">
        <v>295</v>
      </c>
      <c r="E88" s="28" t="b">
        <v>0</v>
      </c>
      <c r="F88" s="2"/>
      <c r="G88" s="29" t="b">
        <v>0</v>
      </c>
      <c r="H88" s="30" t="b">
        <v>0</v>
      </c>
      <c r="I88" s="30" t="b">
        <v>0</v>
      </c>
      <c r="J88" s="28" t="b">
        <v>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3" t="s">
        <v>109</v>
      </c>
      <c r="C89" s="25" t="s">
        <v>291</v>
      </c>
      <c r="D89" s="27" t="s">
        <v>295</v>
      </c>
      <c r="E89" s="28" t="b">
        <v>0</v>
      </c>
      <c r="F89" s="2"/>
      <c r="G89" s="29" t="b">
        <v>0</v>
      </c>
      <c r="H89" s="30" t="b">
        <v>0</v>
      </c>
      <c r="I89" s="30" t="b">
        <v>0</v>
      </c>
      <c r="J89" s="28" t="b">
        <v>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3" t="s">
        <v>44</v>
      </c>
      <c r="C90" s="25" t="s">
        <v>291</v>
      </c>
      <c r="D90" s="27" t="s">
        <v>295</v>
      </c>
      <c r="E90" s="28" t="b">
        <v>0</v>
      </c>
      <c r="F90" s="2"/>
      <c r="G90" s="29" t="b">
        <v>0</v>
      </c>
      <c r="H90" s="30" t="b">
        <v>0</v>
      </c>
      <c r="I90" s="30" t="b">
        <v>0</v>
      </c>
      <c r="J90" s="28" t="b">
        <v>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3" t="s">
        <v>42</v>
      </c>
      <c r="C91" s="25" t="s">
        <v>291</v>
      </c>
      <c r="D91" s="27" t="s">
        <v>295</v>
      </c>
      <c r="E91" s="28" t="b">
        <v>0</v>
      </c>
      <c r="F91" s="2"/>
      <c r="G91" s="29" t="b">
        <v>0</v>
      </c>
      <c r="H91" s="30" t="b">
        <v>0</v>
      </c>
      <c r="I91" s="30" t="b">
        <v>0</v>
      </c>
      <c r="J91" s="28" t="b">
        <v>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3" t="s">
        <v>51</v>
      </c>
      <c r="C92" s="25" t="s">
        <v>82</v>
      </c>
      <c r="D92" s="27" t="s">
        <v>160</v>
      </c>
      <c r="E92" s="28" t="b">
        <v>0</v>
      </c>
      <c r="F92" s="2"/>
      <c r="G92" s="29" t="b">
        <v>0</v>
      </c>
      <c r="H92" s="30" t="b">
        <v>0</v>
      </c>
      <c r="I92" s="30" t="b">
        <v>0</v>
      </c>
      <c r="J92" s="28" t="b">
        <v>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3" t="s">
        <v>519</v>
      </c>
      <c r="C93" s="25" t="s">
        <v>520</v>
      </c>
      <c r="D93" s="27" t="s">
        <v>522</v>
      </c>
      <c r="E93" s="28" t="b">
        <v>0</v>
      </c>
      <c r="F93" s="2"/>
      <c r="G93" s="29" t="b">
        <v>0</v>
      </c>
      <c r="H93" s="30" t="b">
        <v>0</v>
      </c>
      <c r="I93" s="30" t="b">
        <v>0</v>
      </c>
      <c r="J93" s="28" t="b">
        <v>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3" t="s">
        <v>378</v>
      </c>
      <c r="C94" s="25" t="s">
        <v>520</v>
      </c>
      <c r="D94" s="27" t="s">
        <v>522</v>
      </c>
      <c r="E94" s="28" t="b">
        <v>0</v>
      </c>
      <c r="F94" s="2"/>
      <c r="G94" s="29" t="b">
        <v>0</v>
      </c>
      <c r="H94" s="30" t="b">
        <v>0</v>
      </c>
      <c r="I94" s="30" t="b">
        <v>0</v>
      </c>
      <c r="J94" s="28" t="b">
        <v>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3" t="s">
        <v>9</v>
      </c>
      <c r="C95" s="25" t="s">
        <v>520</v>
      </c>
      <c r="D95" s="27" t="s">
        <v>524</v>
      </c>
      <c r="E95" s="28" t="b">
        <v>0</v>
      </c>
      <c r="F95" s="2"/>
      <c r="G95" s="29" t="b">
        <v>0</v>
      </c>
      <c r="H95" s="30" t="b">
        <v>0</v>
      </c>
      <c r="I95" s="30" t="b">
        <v>0</v>
      </c>
      <c r="J95" s="28" t="b">
        <v>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3" t="s">
        <v>23</v>
      </c>
      <c r="C96" s="25" t="s">
        <v>520</v>
      </c>
      <c r="D96" s="27" t="s">
        <v>524</v>
      </c>
      <c r="E96" s="28" t="b">
        <v>0</v>
      </c>
      <c r="F96" s="2"/>
      <c r="G96" s="29" t="b">
        <v>0</v>
      </c>
      <c r="H96" s="30" t="b">
        <v>0</v>
      </c>
      <c r="I96" s="30" t="b">
        <v>0</v>
      </c>
      <c r="J96" s="28" t="b">
        <v>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3" t="s">
        <v>94</v>
      </c>
      <c r="C97" s="25" t="s">
        <v>520</v>
      </c>
      <c r="D97" s="27" t="s">
        <v>524</v>
      </c>
      <c r="E97" s="28" t="b">
        <v>0</v>
      </c>
      <c r="F97" s="2"/>
      <c r="G97" s="29" t="b">
        <v>0</v>
      </c>
      <c r="H97" s="30" t="b">
        <v>0</v>
      </c>
      <c r="I97" s="30" t="b">
        <v>0</v>
      </c>
      <c r="J97" s="28" t="b">
        <v>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3" t="s">
        <v>527</v>
      </c>
      <c r="C98" s="25" t="s">
        <v>520</v>
      </c>
      <c r="D98" s="27" t="s">
        <v>524</v>
      </c>
      <c r="E98" s="28" t="b">
        <v>0</v>
      </c>
      <c r="F98" s="2"/>
      <c r="G98" s="29" t="b">
        <v>0</v>
      </c>
      <c r="H98" s="30" t="b">
        <v>0</v>
      </c>
      <c r="I98" s="30" t="b">
        <v>0</v>
      </c>
      <c r="J98" s="28" t="b">
        <v>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3" t="s">
        <v>124</v>
      </c>
      <c r="C99" s="25" t="s">
        <v>520</v>
      </c>
      <c r="D99" s="27" t="s">
        <v>524</v>
      </c>
      <c r="E99" s="28" t="b">
        <v>0</v>
      </c>
      <c r="F99" s="2"/>
      <c r="G99" s="29" t="b">
        <v>0</v>
      </c>
      <c r="H99" s="30" t="b">
        <v>0</v>
      </c>
      <c r="I99" s="30" t="b">
        <v>0</v>
      </c>
      <c r="J99" s="28" t="b">
        <v>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3" t="s">
        <v>46</v>
      </c>
      <c r="C100" s="25" t="s">
        <v>520</v>
      </c>
      <c r="D100" s="27" t="s">
        <v>524</v>
      </c>
      <c r="E100" s="28" t="b">
        <v>0</v>
      </c>
      <c r="F100" s="2"/>
      <c r="G100" s="29" t="b">
        <v>0</v>
      </c>
      <c r="H100" s="30" t="b">
        <v>0</v>
      </c>
      <c r="I100" s="30" t="b">
        <v>0</v>
      </c>
      <c r="J100" s="28" t="b">
        <v>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3" t="s">
        <v>200</v>
      </c>
      <c r="C101" s="25" t="s">
        <v>520</v>
      </c>
      <c r="D101" s="27" t="s">
        <v>524</v>
      </c>
      <c r="E101" s="28" t="b">
        <v>0</v>
      </c>
      <c r="F101" s="2"/>
      <c r="G101" s="29" t="b">
        <v>0</v>
      </c>
      <c r="H101" s="30" t="b">
        <v>0</v>
      </c>
      <c r="I101" s="30" t="b">
        <v>0</v>
      </c>
      <c r="J101" s="28" t="b">
        <v>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3" t="s">
        <v>66</v>
      </c>
      <c r="C102" s="25" t="s">
        <v>520</v>
      </c>
      <c r="D102" s="27" t="s">
        <v>534</v>
      </c>
      <c r="E102" s="28" t="b">
        <v>0</v>
      </c>
      <c r="F102" s="2"/>
      <c r="G102" s="29" t="b">
        <v>0</v>
      </c>
      <c r="H102" s="30" t="b">
        <v>0</v>
      </c>
      <c r="I102" s="30" t="b">
        <v>0</v>
      </c>
      <c r="J102" s="28" t="b">
        <v>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3" t="s">
        <v>18</v>
      </c>
      <c r="C103" s="25" t="s">
        <v>520</v>
      </c>
      <c r="D103" s="27" t="s">
        <v>534</v>
      </c>
      <c r="E103" s="28" t="b">
        <v>0</v>
      </c>
      <c r="F103" s="2"/>
      <c r="G103" s="29" t="b">
        <v>0</v>
      </c>
      <c r="H103" s="30" t="b">
        <v>0</v>
      </c>
      <c r="I103" s="30" t="b">
        <v>0</v>
      </c>
      <c r="J103" s="28" t="b">
        <v>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3" t="s">
        <v>535</v>
      </c>
      <c r="C104" s="25" t="s">
        <v>536</v>
      </c>
      <c r="D104" s="27" t="s">
        <v>537</v>
      </c>
      <c r="E104" s="28" t="b">
        <v>0</v>
      </c>
      <c r="F104" s="2"/>
      <c r="G104" s="29" t="b">
        <v>0</v>
      </c>
      <c r="H104" s="30" t="b">
        <v>0</v>
      </c>
      <c r="I104" s="30" t="b">
        <v>0</v>
      </c>
      <c r="J104" s="28" t="b">
        <v>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3" t="s">
        <v>539</v>
      </c>
      <c r="C105" s="25" t="s">
        <v>536</v>
      </c>
      <c r="D105" s="27" t="s">
        <v>540</v>
      </c>
      <c r="E105" s="28" t="b">
        <v>0</v>
      </c>
      <c r="F105" s="2"/>
      <c r="G105" s="29" t="b">
        <v>0</v>
      </c>
      <c r="H105" s="30" t="b">
        <v>0</v>
      </c>
      <c r="I105" s="30" t="b">
        <v>0</v>
      </c>
      <c r="J105" s="28" t="b">
        <v>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3" t="s">
        <v>542</v>
      </c>
      <c r="C106" s="25" t="s">
        <v>536</v>
      </c>
      <c r="D106" s="27" t="s">
        <v>540</v>
      </c>
      <c r="E106" s="28" t="b">
        <v>0</v>
      </c>
      <c r="F106" s="2"/>
      <c r="G106" s="29" t="b">
        <v>0</v>
      </c>
      <c r="H106" s="30" t="b">
        <v>0</v>
      </c>
      <c r="I106" s="30" t="b">
        <v>0</v>
      </c>
      <c r="J106" s="28" t="b">
        <v>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3" t="s">
        <v>543</v>
      </c>
      <c r="C107" s="25" t="s">
        <v>536</v>
      </c>
      <c r="D107" s="27" t="s">
        <v>540</v>
      </c>
      <c r="E107" s="28" t="b">
        <v>0</v>
      </c>
      <c r="F107" s="2"/>
      <c r="G107" s="29" t="b">
        <v>0</v>
      </c>
      <c r="H107" s="30" t="b">
        <v>0</v>
      </c>
      <c r="I107" s="30" t="b">
        <v>0</v>
      </c>
      <c r="J107" s="28" t="b">
        <v>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3" t="s">
        <v>544</v>
      </c>
      <c r="C108" s="25" t="s">
        <v>425</v>
      </c>
      <c r="D108" s="27" t="s">
        <v>427</v>
      </c>
      <c r="E108" s="28" t="b">
        <v>0</v>
      </c>
      <c r="F108" s="2"/>
      <c r="G108" s="29" t="b">
        <v>0</v>
      </c>
      <c r="H108" s="30" t="b">
        <v>0</v>
      </c>
      <c r="I108" s="30" t="b">
        <v>0</v>
      </c>
      <c r="J108" s="28" t="b">
        <v>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3" t="s">
        <v>357</v>
      </c>
      <c r="C109" s="25" t="s">
        <v>536</v>
      </c>
      <c r="D109" s="27" t="s">
        <v>545</v>
      </c>
      <c r="E109" s="28" t="b">
        <v>0</v>
      </c>
      <c r="F109" s="2"/>
      <c r="G109" s="29" t="b">
        <v>0</v>
      </c>
      <c r="H109" s="30" t="b">
        <v>0</v>
      </c>
      <c r="I109" s="30" t="b">
        <v>0</v>
      </c>
      <c r="J109" s="28" t="b">
        <v>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3" t="s">
        <v>546</v>
      </c>
      <c r="C110" s="25" t="s">
        <v>172</v>
      </c>
      <c r="D110" s="27" t="s">
        <v>233</v>
      </c>
      <c r="E110" s="28" t="b">
        <v>0</v>
      </c>
      <c r="F110" s="2"/>
      <c r="G110" s="29" t="b">
        <v>0</v>
      </c>
      <c r="H110" s="30" t="b">
        <v>0</v>
      </c>
      <c r="I110" s="30" t="b">
        <v>0</v>
      </c>
      <c r="J110" s="28" t="b">
        <v>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3" t="s">
        <v>548</v>
      </c>
      <c r="C111" s="101"/>
      <c r="D111" s="27" t="s">
        <v>549</v>
      </c>
      <c r="E111" s="28" t="b">
        <v>0</v>
      </c>
      <c r="F111" s="2"/>
      <c r="G111" s="29" t="b">
        <v>0</v>
      </c>
      <c r="H111" s="30" t="b">
        <v>0</v>
      </c>
      <c r="I111" s="30" t="b">
        <v>0</v>
      </c>
      <c r="J111" s="28" t="b">
        <v>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3" t="s">
        <v>551</v>
      </c>
      <c r="C112" s="25" t="s">
        <v>520</v>
      </c>
      <c r="D112" s="27" t="s">
        <v>524</v>
      </c>
      <c r="E112" s="28" t="b">
        <v>0</v>
      </c>
      <c r="F112" s="2"/>
      <c r="G112" s="29" t="b">
        <v>0</v>
      </c>
      <c r="H112" s="30" t="b">
        <v>0</v>
      </c>
      <c r="I112" s="30" t="b">
        <v>0</v>
      </c>
      <c r="J112" s="28" t="b">
        <v>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3" t="s">
        <v>521</v>
      </c>
      <c r="C113" s="25" t="s">
        <v>82</v>
      </c>
      <c r="D113" s="27" t="s">
        <v>92</v>
      </c>
      <c r="E113" s="28" t="b">
        <v>0</v>
      </c>
      <c r="F113" s="2"/>
      <c r="G113" s="29" t="b">
        <v>0</v>
      </c>
      <c r="H113" s="30" t="b">
        <v>0</v>
      </c>
      <c r="I113" s="30" t="b">
        <v>0</v>
      </c>
      <c r="J113" s="28" t="b">
        <v>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3" t="s">
        <v>554</v>
      </c>
      <c r="C114" s="25" t="s">
        <v>309</v>
      </c>
      <c r="D114" s="27" t="s">
        <v>555</v>
      </c>
      <c r="E114" s="28" t="b">
        <v>0</v>
      </c>
      <c r="F114" s="2"/>
      <c r="G114" s="29" t="b">
        <v>0</v>
      </c>
      <c r="H114" s="30" t="b">
        <v>0</v>
      </c>
      <c r="I114" s="30" t="b">
        <v>0</v>
      </c>
      <c r="J114" s="28" t="b">
        <v>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3" t="s">
        <v>458</v>
      </c>
      <c r="C115" s="25" t="s">
        <v>172</v>
      </c>
      <c r="D115" s="27" t="s">
        <v>222</v>
      </c>
      <c r="E115" s="28" t="b">
        <v>0</v>
      </c>
      <c r="F115" s="2"/>
      <c r="G115" s="29" t="b">
        <v>0</v>
      </c>
      <c r="H115" s="30" t="b">
        <v>0</v>
      </c>
      <c r="I115" s="30" t="b">
        <v>0</v>
      </c>
      <c r="J115" s="28" t="b">
        <v>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3" t="s">
        <v>379</v>
      </c>
      <c r="C116" s="25" t="s">
        <v>316</v>
      </c>
      <c r="D116" s="27" t="s">
        <v>318</v>
      </c>
      <c r="E116" s="28" t="b">
        <v>0</v>
      </c>
      <c r="F116" s="2"/>
      <c r="G116" s="29" t="b">
        <v>0</v>
      </c>
      <c r="H116" s="30" t="b">
        <v>0</v>
      </c>
      <c r="I116" s="30" t="b">
        <v>0</v>
      </c>
      <c r="J116" s="28" t="b">
        <v>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3" t="s">
        <v>336</v>
      </c>
      <c r="C117" s="25" t="s">
        <v>425</v>
      </c>
      <c r="D117" s="27" t="s">
        <v>441</v>
      </c>
      <c r="E117" s="28" t="b">
        <v>0</v>
      </c>
      <c r="F117" s="2"/>
      <c r="G117" s="29" t="b">
        <v>0</v>
      </c>
      <c r="H117" s="30" t="b">
        <v>0</v>
      </c>
      <c r="I117" s="30" t="b">
        <v>0</v>
      </c>
      <c r="J117" s="28" t="b">
        <v>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3" t="s">
        <v>561</v>
      </c>
      <c r="C118" s="25" t="s">
        <v>82</v>
      </c>
      <c r="D118" s="27" t="s">
        <v>160</v>
      </c>
      <c r="E118" s="28" t="b">
        <v>0</v>
      </c>
      <c r="F118" s="2"/>
      <c r="G118" s="29" t="b">
        <v>0</v>
      </c>
      <c r="H118" s="57" t="b">
        <v>0</v>
      </c>
      <c r="I118" s="30" t="b">
        <v>0</v>
      </c>
      <c r="J118" s="28" t="b">
        <v>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3" t="s">
        <v>562</v>
      </c>
      <c r="C119" s="25"/>
      <c r="D119" s="27"/>
      <c r="E119" s="36" t="b">
        <v>0</v>
      </c>
      <c r="F119" s="2"/>
      <c r="G119" s="29" t="b">
        <v>0</v>
      </c>
      <c r="H119" s="30" t="b">
        <v>0</v>
      </c>
      <c r="I119" s="30" t="b">
        <v>0</v>
      </c>
      <c r="J119" s="28" t="b">
        <v>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3" t="s">
        <v>541</v>
      </c>
      <c r="C120" s="25" t="s">
        <v>520</v>
      </c>
      <c r="D120" s="27" t="s">
        <v>564</v>
      </c>
      <c r="E120" s="28" t="b">
        <v>0</v>
      </c>
      <c r="F120" s="2"/>
      <c r="G120" s="29" t="b">
        <v>0</v>
      </c>
      <c r="H120" s="30" t="b">
        <v>0</v>
      </c>
      <c r="I120" s="30" t="b">
        <v>0</v>
      </c>
      <c r="J120" s="28" t="b">
        <v>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3" t="s">
        <v>6</v>
      </c>
      <c r="C121" s="25" t="s">
        <v>425</v>
      </c>
      <c r="D121" s="27" t="s">
        <v>457</v>
      </c>
      <c r="E121" s="28" t="b">
        <v>0</v>
      </c>
      <c r="F121" s="2"/>
      <c r="G121" s="29" t="b">
        <v>0</v>
      </c>
      <c r="H121" s="30" t="b">
        <v>0</v>
      </c>
      <c r="I121" s="30" t="b">
        <v>0</v>
      </c>
      <c r="J121" s="28" t="b">
        <v>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3" t="s">
        <v>437</v>
      </c>
      <c r="C122" s="25" t="s">
        <v>291</v>
      </c>
      <c r="D122" s="27" t="s">
        <v>295</v>
      </c>
      <c r="E122" s="28" t="b">
        <v>0</v>
      </c>
      <c r="F122" s="2"/>
      <c r="G122" s="29" t="b">
        <v>0</v>
      </c>
      <c r="H122" s="30" t="b">
        <v>0</v>
      </c>
      <c r="I122" s="30" t="b">
        <v>0</v>
      </c>
      <c r="J122" s="28" t="b">
        <v>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3" t="s">
        <v>568</v>
      </c>
      <c r="C123" s="25" t="s">
        <v>291</v>
      </c>
      <c r="D123" s="27" t="s">
        <v>295</v>
      </c>
      <c r="E123" s="28" t="b">
        <v>0</v>
      </c>
      <c r="F123" s="2"/>
      <c r="G123" s="29" t="b">
        <v>0</v>
      </c>
      <c r="H123" s="30" t="b">
        <v>0</v>
      </c>
      <c r="I123" s="30" t="b">
        <v>0</v>
      </c>
      <c r="J123" s="28" t="b">
        <v>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103"/>
      <c r="C124" s="101"/>
      <c r="D124" s="104"/>
      <c r="E124" s="28" t="b">
        <v>0</v>
      </c>
      <c r="F124" s="2"/>
      <c r="G124" s="29" t="b">
        <v>0</v>
      </c>
      <c r="H124" s="30" t="b">
        <v>0</v>
      </c>
      <c r="I124" s="30" t="b">
        <v>0</v>
      </c>
      <c r="J124" s="28" t="b">
        <v>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103"/>
      <c r="C125" s="101"/>
      <c r="D125" s="104"/>
      <c r="E125" s="28" t="b">
        <v>0</v>
      </c>
      <c r="F125" s="2"/>
      <c r="G125" s="29" t="b">
        <v>0</v>
      </c>
      <c r="H125" s="30" t="b">
        <v>0</v>
      </c>
      <c r="I125" s="30" t="b">
        <v>0</v>
      </c>
      <c r="J125" s="28" t="b">
        <v>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103"/>
      <c r="C126" s="101"/>
      <c r="D126" s="104"/>
      <c r="E126" s="28" t="b">
        <v>0</v>
      </c>
      <c r="F126" s="2"/>
      <c r="G126" s="29" t="b">
        <v>0</v>
      </c>
      <c r="H126" s="30" t="b">
        <v>0</v>
      </c>
      <c r="I126" s="30" t="b">
        <v>0</v>
      </c>
      <c r="J126" s="28" t="b">
        <v>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103"/>
      <c r="C127" s="101"/>
      <c r="D127" s="104"/>
      <c r="E127" s="28" t="b">
        <v>0</v>
      </c>
      <c r="F127" s="2"/>
      <c r="G127" s="29" t="b">
        <v>0</v>
      </c>
      <c r="H127" s="30" t="b">
        <v>0</v>
      </c>
      <c r="I127" s="30" t="b">
        <v>0</v>
      </c>
      <c r="J127" s="28" t="b">
        <v>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103"/>
      <c r="C128" s="101"/>
      <c r="D128" s="104"/>
      <c r="E128" s="28" t="b">
        <v>0</v>
      </c>
      <c r="F128" s="2"/>
      <c r="G128" s="29" t="b">
        <v>0</v>
      </c>
      <c r="H128" s="30" t="b">
        <v>0</v>
      </c>
      <c r="I128" s="30" t="b">
        <v>0</v>
      </c>
      <c r="J128" s="28" t="b">
        <v>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103"/>
      <c r="C129" s="101"/>
      <c r="D129" s="104"/>
      <c r="E129" s="28" t="b">
        <v>0</v>
      </c>
      <c r="F129" s="2"/>
      <c r="G129" s="29" t="b">
        <v>0</v>
      </c>
      <c r="H129" s="30" t="b">
        <v>0</v>
      </c>
      <c r="I129" s="30" t="b">
        <v>0</v>
      </c>
      <c r="J129" s="28" t="b">
        <v>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103"/>
      <c r="C130" s="101"/>
      <c r="D130" s="104"/>
      <c r="E130" s="28" t="b">
        <v>0</v>
      </c>
      <c r="F130" s="2"/>
      <c r="G130" s="29" t="b">
        <v>0</v>
      </c>
      <c r="H130" s="30" t="b">
        <v>0</v>
      </c>
      <c r="I130" s="30" t="b">
        <v>0</v>
      </c>
      <c r="J130" s="28" t="b">
        <v>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103"/>
      <c r="C131" s="101"/>
      <c r="D131" s="104"/>
      <c r="E131" s="28" t="b">
        <v>0</v>
      </c>
      <c r="F131" s="2"/>
      <c r="G131" s="29" t="b">
        <v>0</v>
      </c>
      <c r="H131" s="30" t="b">
        <v>0</v>
      </c>
      <c r="I131" s="30" t="b">
        <v>0</v>
      </c>
      <c r="J131" s="28" t="b"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103"/>
      <c r="C132" s="101"/>
      <c r="D132" s="104"/>
      <c r="E132" s="28" t="b">
        <v>0</v>
      </c>
      <c r="F132" s="2"/>
      <c r="G132" s="29" t="b">
        <v>0</v>
      </c>
      <c r="H132" s="30" t="b">
        <v>0</v>
      </c>
      <c r="I132" s="30" t="b">
        <v>0</v>
      </c>
      <c r="J132" s="28" t="b">
        <v>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103"/>
      <c r="C133" s="101"/>
      <c r="D133" s="104"/>
      <c r="E133" s="28" t="b">
        <v>0</v>
      </c>
      <c r="F133" s="2"/>
      <c r="G133" s="29" t="b">
        <v>0</v>
      </c>
      <c r="H133" s="30" t="b">
        <v>0</v>
      </c>
      <c r="I133" s="30" t="b">
        <v>0</v>
      </c>
      <c r="J133" s="28" t="b">
        <v>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103"/>
      <c r="C134" s="101"/>
      <c r="D134" s="104"/>
      <c r="E134" s="28" t="b">
        <v>0</v>
      </c>
      <c r="F134" s="2"/>
      <c r="G134" s="29" t="b">
        <v>0</v>
      </c>
      <c r="H134" s="30" t="b">
        <v>0</v>
      </c>
      <c r="I134" s="30" t="b">
        <v>0</v>
      </c>
      <c r="J134" s="28" t="b">
        <v>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103"/>
      <c r="C135" s="101"/>
      <c r="D135" s="104"/>
      <c r="E135" s="28" t="b">
        <v>0</v>
      </c>
      <c r="F135" s="2"/>
      <c r="G135" s="29" t="b">
        <v>0</v>
      </c>
      <c r="H135" s="30" t="b">
        <v>0</v>
      </c>
      <c r="I135" s="30" t="b">
        <v>0</v>
      </c>
      <c r="J135" s="28" t="b">
        <v>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103"/>
      <c r="C136" s="101"/>
      <c r="D136" s="104"/>
      <c r="E136" s="28" t="b">
        <v>0</v>
      </c>
      <c r="F136" s="2"/>
      <c r="G136" s="29" t="b">
        <v>0</v>
      </c>
      <c r="H136" s="30" t="b">
        <v>0</v>
      </c>
      <c r="I136" s="30" t="b">
        <v>0</v>
      </c>
      <c r="J136" s="28" t="b">
        <v>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103"/>
      <c r="C137" s="101"/>
      <c r="D137" s="104"/>
      <c r="E137" s="28" t="b">
        <v>0</v>
      </c>
      <c r="F137" s="2"/>
      <c r="G137" s="29" t="b">
        <v>0</v>
      </c>
      <c r="H137" s="30" t="b">
        <v>0</v>
      </c>
      <c r="I137" s="30" t="b">
        <v>0</v>
      </c>
      <c r="J137" s="28" t="b">
        <v>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103"/>
      <c r="C138" s="101"/>
      <c r="D138" s="104"/>
      <c r="E138" s="28" t="b">
        <v>0</v>
      </c>
      <c r="F138" s="2"/>
      <c r="G138" s="29" t="b">
        <v>0</v>
      </c>
      <c r="H138" s="30" t="b">
        <v>0</v>
      </c>
      <c r="I138" s="30" t="b">
        <v>0</v>
      </c>
      <c r="J138" s="28" t="b">
        <v>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103"/>
      <c r="C139" s="101"/>
      <c r="D139" s="104"/>
      <c r="E139" s="28" t="b">
        <v>0</v>
      </c>
      <c r="F139" s="2"/>
      <c r="G139" s="29" t="b">
        <v>0</v>
      </c>
      <c r="H139" s="30" t="b">
        <v>0</v>
      </c>
      <c r="I139" s="30" t="b">
        <v>0</v>
      </c>
      <c r="J139" s="28" t="b">
        <v>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103"/>
      <c r="C140" s="101"/>
      <c r="D140" s="104"/>
      <c r="E140" s="28" t="b">
        <v>0</v>
      </c>
      <c r="F140" s="2"/>
      <c r="G140" s="29" t="b">
        <v>0</v>
      </c>
      <c r="H140" s="30" t="b">
        <v>0</v>
      </c>
      <c r="I140" s="30" t="b">
        <v>0</v>
      </c>
      <c r="J140" s="28" t="b">
        <v>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103"/>
      <c r="C141" s="101"/>
      <c r="D141" s="104"/>
      <c r="E141" s="28" t="b">
        <v>0</v>
      </c>
      <c r="F141" s="2"/>
      <c r="G141" s="29" t="b">
        <v>0</v>
      </c>
      <c r="H141" s="30" t="b">
        <v>0</v>
      </c>
      <c r="I141" s="30" t="b">
        <v>0</v>
      </c>
      <c r="J141" s="28" t="b">
        <v>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103"/>
      <c r="C142" s="101"/>
      <c r="D142" s="104"/>
      <c r="E142" s="28" t="b">
        <v>0</v>
      </c>
      <c r="F142" s="2"/>
      <c r="G142" s="29" t="b">
        <v>0</v>
      </c>
      <c r="H142" s="30" t="b">
        <v>0</v>
      </c>
      <c r="I142" s="30" t="b">
        <v>0</v>
      </c>
      <c r="J142" s="28" t="b">
        <v>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103"/>
      <c r="C143" s="101"/>
      <c r="D143" s="104"/>
      <c r="E143" s="28" t="b">
        <v>0</v>
      </c>
      <c r="F143" s="2"/>
      <c r="G143" s="29" t="b">
        <v>0</v>
      </c>
      <c r="H143" s="30" t="b">
        <v>0</v>
      </c>
      <c r="I143" s="30" t="b">
        <v>0</v>
      </c>
      <c r="J143" s="28" t="b">
        <v>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103"/>
      <c r="C144" s="101"/>
      <c r="D144" s="104"/>
      <c r="E144" s="28" t="b">
        <v>0</v>
      </c>
      <c r="F144" s="2"/>
      <c r="G144" s="29" t="b">
        <v>0</v>
      </c>
      <c r="H144" s="30" t="b">
        <v>0</v>
      </c>
      <c r="I144" s="30" t="b">
        <v>0</v>
      </c>
      <c r="J144" s="28" t="b">
        <v>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103"/>
      <c r="C145" s="101"/>
      <c r="D145" s="104"/>
      <c r="E145" s="28" t="b">
        <v>0</v>
      </c>
      <c r="F145" s="2"/>
      <c r="G145" s="29" t="b">
        <v>0</v>
      </c>
      <c r="H145" s="30" t="b">
        <v>0</v>
      </c>
      <c r="I145" s="30" t="b">
        <v>0</v>
      </c>
      <c r="J145" s="28" t="b">
        <v>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103"/>
      <c r="C146" s="101"/>
      <c r="D146" s="104"/>
      <c r="E146" s="28" t="b">
        <v>0</v>
      </c>
      <c r="F146" s="2"/>
      <c r="G146" s="29" t="b">
        <v>0</v>
      </c>
      <c r="H146" s="30" t="b">
        <v>0</v>
      </c>
      <c r="I146" s="30" t="b">
        <v>0</v>
      </c>
      <c r="J146" s="28" t="b">
        <v>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103"/>
      <c r="C147" s="101"/>
      <c r="D147" s="104"/>
      <c r="E147" s="28" t="b">
        <v>0</v>
      </c>
      <c r="F147" s="2"/>
      <c r="G147" s="29" t="b">
        <v>0</v>
      </c>
      <c r="H147" s="30" t="b">
        <v>0</v>
      </c>
      <c r="I147" s="30" t="b">
        <v>0</v>
      </c>
      <c r="J147" s="28" t="b">
        <v>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103"/>
      <c r="C148" s="101"/>
      <c r="D148" s="104"/>
      <c r="E148" s="28" t="b">
        <v>0</v>
      </c>
      <c r="F148" s="2"/>
      <c r="G148" s="29" t="b">
        <v>0</v>
      </c>
      <c r="H148" s="30" t="b">
        <v>0</v>
      </c>
      <c r="I148" s="30" t="b">
        <v>0</v>
      </c>
      <c r="J148" s="28" t="b">
        <v>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103"/>
      <c r="C149" s="101"/>
      <c r="D149" s="104"/>
      <c r="E149" s="28" t="b">
        <v>0</v>
      </c>
      <c r="F149" s="2"/>
      <c r="G149" s="29" t="b">
        <v>0</v>
      </c>
      <c r="H149" s="30" t="b">
        <v>0</v>
      </c>
      <c r="I149" s="30" t="b">
        <v>0</v>
      </c>
      <c r="J149" s="28" t="b">
        <v>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103"/>
      <c r="C150" s="101"/>
      <c r="D150" s="104"/>
      <c r="E150" s="28" t="b">
        <v>0</v>
      </c>
      <c r="F150" s="2"/>
      <c r="G150" s="29" t="b">
        <v>0</v>
      </c>
      <c r="H150" s="30" t="b">
        <v>0</v>
      </c>
      <c r="I150" s="30" t="b">
        <v>0</v>
      </c>
      <c r="J150" s="28" t="b">
        <v>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103"/>
      <c r="C151" s="101"/>
      <c r="D151" s="104"/>
      <c r="E151" s="28" t="b">
        <v>0</v>
      </c>
      <c r="F151" s="2"/>
      <c r="G151" s="29" t="b">
        <v>0</v>
      </c>
      <c r="H151" s="30" t="b">
        <v>0</v>
      </c>
      <c r="I151" s="30" t="b">
        <v>0</v>
      </c>
      <c r="J151" s="28" t="b">
        <v>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103"/>
      <c r="C152" s="101"/>
      <c r="D152" s="104"/>
      <c r="E152" s="28" t="b">
        <v>0</v>
      </c>
      <c r="F152" s="2"/>
      <c r="G152" s="29" t="b">
        <v>0</v>
      </c>
      <c r="H152" s="30" t="b">
        <v>0</v>
      </c>
      <c r="I152" s="30" t="b">
        <v>0</v>
      </c>
      <c r="J152" s="28" t="b">
        <v>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103"/>
      <c r="C153" s="101"/>
      <c r="D153" s="104"/>
      <c r="E153" s="28" t="b">
        <v>0</v>
      </c>
      <c r="F153" s="2"/>
      <c r="G153" s="29" t="b">
        <v>0</v>
      </c>
      <c r="H153" s="30" t="b">
        <v>0</v>
      </c>
      <c r="I153" s="30" t="b">
        <v>0</v>
      </c>
      <c r="J153" s="28" t="b">
        <v>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103"/>
      <c r="C154" s="101"/>
      <c r="D154" s="104"/>
      <c r="E154" s="28" t="b">
        <v>0</v>
      </c>
      <c r="F154" s="2"/>
      <c r="G154" s="29" t="b">
        <v>0</v>
      </c>
      <c r="H154" s="30" t="b">
        <v>0</v>
      </c>
      <c r="I154" s="30" t="b">
        <v>0</v>
      </c>
      <c r="J154" s="28" t="b">
        <v>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103"/>
      <c r="C155" s="101"/>
      <c r="D155" s="104"/>
      <c r="E155" s="28" t="b">
        <v>0</v>
      </c>
      <c r="F155" s="2"/>
      <c r="G155" s="29" t="b">
        <v>0</v>
      </c>
      <c r="H155" s="30" t="b">
        <v>0</v>
      </c>
      <c r="I155" s="30" t="b">
        <v>0</v>
      </c>
      <c r="J155" s="28" t="b">
        <v>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103"/>
      <c r="C156" s="101"/>
      <c r="D156" s="104"/>
      <c r="E156" s="28" t="b">
        <v>0</v>
      </c>
      <c r="F156" s="2"/>
      <c r="G156" s="29" t="b">
        <v>0</v>
      </c>
      <c r="H156" s="30" t="b">
        <v>0</v>
      </c>
      <c r="I156" s="30" t="b">
        <v>0</v>
      </c>
      <c r="J156" s="28" t="b">
        <v>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103"/>
      <c r="C157" s="101"/>
      <c r="D157" s="104"/>
      <c r="E157" s="28" t="b">
        <v>0</v>
      </c>
      <c r="F157" s="2"/>
      <c r="G157" s="29" t="b">
        <v>0</v>
      </c>
      <c r="H157" s="30" t="b">
        <v>0</v>
      </c>
      <c r="I157" s="30" t="b">
        <v>0</v>
      </c>
      <c r="J157" s="28" t="b">
        <v>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103"/>
      <c r="C158" s="101"/>
      <c r="D158" s="104"/>
      <c r="E158" s="28" t="b">
        <v>0</v>
      </c>
      <c r="F158" s="2"/>
      <c r="G158" s="29" t="b">
        <v>0</v>
      </c>
      <c r="H158" s="30" t="b">
        <v>0</v>
      </c>
      <c r="I158" s="30" t="b">
        <v>0</v>
      </c>
      <c r="J158" s="28" t="b">
        <v>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103"/>
      <c r="C159" s="101"/>
      <c r="D159" s="104"/>
      <c r="E159" s="28" t="b">
        <v>0</v>
      </c>
      <c r="F159" s="2"/>
      <c r="G159" s="29" t="b">
        <v>0</v>
      </c>
      <c r="H159" s="30" t="b">
        <v>0</v>
      </c>
      <c r="I159" s="30" t="b">
        <v>0</v>
      </c>
      <c r="J159" s="28" t="b">
        <v>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103"/>
      <c r="C160" s="101"/>
      <c r="D160" s="104"/>
      <c r="E160" s="28" t="b">
        <v>0</v>
      </c>
      <c r="F160" s="2"/>
      <c r="G160" s="29" t="b">
        <v>0</v>
      </c>
      <c r="H160" s="30" t="b">
        <v>0</v>
      </c>
      <c r="I160" s="30" t="b">
        <v>0</v>
      </c>
      <c r="J160" s="28" t="b">
        <v>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103"/>
      <c r="C161" s="101"/>
      <c r="D161" s="104"/>
      <c r="E161" s="28" t="b">
        <v>0</v>
      </c>
      <c r="F161" s="2"/>
      <c r="G161" s="29" t="b">
        <v>0</v>
      </c>
      <c r="H161" s="30" t="b">
        <v>0</v>
      </c>
      <c r="I161" s="30" t="b">
        <v>0</v>
      </c>
      <c r="J161" s="28" t="b">
        <v>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103"/>
      <c r="C162" s="101"/>
      <c r="D162" s="104"/>
      <c r="E162" s="28" t="b">
        <v>0</v>
      </c>
      <c r="F162" s="2"/>
      <c r="G162" s="29" t="b">
        <v>0</v>
      </c>
      <c r="H162" s="30" t="b">
        <v>0</v>
      </c>
      <c r="I162" s="30" t="b">
        <v>0</v>
      </c>
      <c r="J162" s="28" t="b">
        <v>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103"/>
      <c r="C163" s="101"/>
      <c r="D163" s="104"/>
      <c r="E163" s="28" t="b">
        <v>0</v>
      </c>
      <c r="F163" s="2"/>
      <c r="G163" s="29" t="b">
        <v>0</v>
      </c>
      <c r="H163" s="30" t="b">
        <v>0</v>
      </c>
      <c r="I163" s="30" t="b">
        <v>0</v>
      </c>
      <c r="J163" s="28" t="b">
        <v>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103"/>
      <c r="C164" s="101"/>
      <c r="D164" s="104"/>
      <c r="E164" s="28" t="b">
        <v>0</v>
      </c>
      <c r="F164" s="2"/>
      <c r="G164" s="29" t="b">
        <v>0</v>
      </c>
      <c r="H164" s="30" t="b">
        <v>0</v>
      </c>
      <c r="I164" s="30" t="b">
        <v>0</v>
      </c>
      <c r="J164" s="28" t="b">
        <v>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103"/>
      <c r="C165" s="101"/>
      <c r="D165" s="104"/>
      <c r="E165" s="28" t="b">
        <v>0</v>
      </c>
      <c r="F165" s="2"/>
      <c r="G165" s="29" t="b">
        <v>0</v>
      </c>
      <c r="H165" s="30" t="b">
        <v>0</v>
      </c>
      <c r="I165" s="30" t="b">
        <v>0</v>
      </c>
      <c r="J165" s="28" t="b">
        <v>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103"/>
      <c r="C166" s="101"/>
      <c r="D166" s="104"/>
      <c r="E166" s="28" t="b">
        <v>0</v>
      </c>
      <c r="F166" s="2"/>
      <c r="G166" s="29" t="b">
        <v>0</v>
      </c>
      <c r="H166" s="30" t="b">
        <v>0</v>
      </c>
      <c r="I166" s="30" t="b">
        <v>0</v>
      </c>
      <c r="J166" s="28" t="b">
        <v>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103"/>
      <c r="C167" s="101"/>
      <c r="D167" s="104"/>
      <c r="E167" s="28" t="b">
        <v>0</v>
      </c>
      <c r="F167" s="2"/>
      <c r="G167" s="29" t="b">
        <v>0</v>
      </c>
      <c r="H167" s="30" t="b">
        <v>0</v>
      </c>
      <c r="I167" s="30" t="b">
        <v>0</v>
      </c>
      <c r="J167" s="28" t="b">
        <v>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103"/>
      <c r="C168" s="101"/>
      <c r="D168" s="104"/>
      <c r="E168" s="28" t="b">
        <v>0</v>
      </c>
      <c r="F168" s="2"/>
      <c r="G168" s="29" t="b">
        <v>0</v>
      </c>
      <c r="H168" s="30" t="b">
        <v>0</v>
      </c>
      <c r="I168" s="30" t="b">
        <v>0</v>
      </c>
      <c r="J168" s="28" t="b">
        <v>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103"/>
      <c r="C169" s="101"/>
      <c r="D169" s="104"/>
      <c r="E169" s="28" t="b">
        <v>0</v>
      </c>
      <c r="F169" s="2"/>
      <c r="G169" s="29" t="b">
        <v>0</v>
      </c>
      <c r="H169" s="30" t="b">
        <v>0</v>
      </c>
      <c r="I169" s="30" t="b">
        <v>0</v>
      </c>
      <c r="J169" s="28" t="b">
        <v>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103"/>
      <c r="C170" s="101"/>
      <c r="D170" s="104"/>
      <c r="E170" s="28" t="b">
        <v>0</v>
      </c>
      <c r="F170" s="2"/>
      <c r="G170" s="29" t="b">
        <v>0</v>
      </c>
      <c r="H170" s="30" t="b">
        <v>0</v>
      </c>
      <c r="I170" s="30" t="b">
        <v>0</v>
      </c>
      <c r="J170" s="28" t="b">
        <v>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103"/>
      <c r="C171" s="101"/>
      <c r="D171" s="104"/>
      <c r="E171" s="28" t="b">
        <v>0</v>
      </c>
      <c r="F171" s="2"/>
      <c r="G171" s="29" t="b">
        <v>0</v>
      </c>
      <c r="H171" s="30" t="b">
        <v>0</v>
      </c>
      <c r="I171" s="30" t="b">
        <v>0</v>
      </c>
      <c r="J171" s="28" t="b">
        <v>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103"/>
      <c r="C172" s="101"/>
      <c r="D172" s="104"/>
      <c r="E172" s="28" t="b">
        <v>0</v>
      </c>
      <c r="F172" s="2"/>
      <c r="G172" s="29" t="b">
        <v>0</v>
      </c>
      <c r="H172" s="30" t="b">
        <v>0</v>
      </c>
      <c r="I172" s="30" t="b">
        <v>0</v>
      </c>
      <c r="J172" s="28" t="b">
        <v>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103"/>
      <c r="C173" s="101"/>
      <c r="D173" s="104"/>
      <c r="E173" s="28" t="b">
        <v>0</v>
      </c>
      <c r="F173" s="2"/>
      <c r="G173" s="29" t="b">
        <v>0</v>
      </c>
      <c r="H173" s="30" t="b">
        <v>0</v>
      </c>
      <c r="I173" s="30" t="b">
        <v>0</v>
      </c>
      <c r="J173" s="28" t="b">
        <v>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103"/>
      <c r="C174" s="101"/>
      <c r="D174" s="104"/>
      <c r="E174" s="28" t="b">
        <v>0</v>
      </c>
      <c r="F174" s="2"/>
      <c r="G174" s="29" t="b">
        <v>0</v>
      </c>
      <c r="H174" s="30" t="b">
        <v>0</v>
      </c>
      <c r="I174" s="30" t="b">
        <v>0</v>
      </c>
      <c r="J174" s="28" t="b">
        <v>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103"/>
      <c r="C175" s="101"/>
      <c r="D175" s="104"/>
      <c r="E175" s="28" t="b">
        <v>0</v>
      </c>
      <c r="F175" s="2"/>
      <c r="G175" s="29" t="b">
        <v>0</v>
      </c>
      <c r="H175" s="30" t="b">
        <v>0</v>
      </c>
      <c r="I175" s="30" t="b">
        <v>0</v>
      </c>
      <c r="J175" s="28" t="b">
        <v>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103"/>
      <c r="C176" s="101"/>
      <c r="D176" s="104"/>
      <c r="E176" s="28" t="b">
        <v>0</v>
      </c>
      <c r="F176" s="2"/>
      <c r="G176" s="29" t="b">
        <v>0</v>
      </c>
      <c r="H176" s="30" t="b">
        <v>0</v>
      </c>
      <c r="I176" s="30" t="b">
        <v>0</v>
      </c>
      <c r="J176" s="28" t="b">
        <v>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103"/>
      <c r="C177" s="101"/>
      <c r="D177" s="104"/>
      <c r="E177" s="28" t="b">
        <v>0</v>
      </c>
      <c r="F177" s="2"/>
      <c r="G177" s="29" t="b">
        <v>0</v>
      </c>
      <c r="H177" s="30" t="b">
        <v>0</v>
      </c>
      <c r="I177" s="30" t="b">
        <v>0</v>
      </c>
      <c r="J177" s="28" t="b">
        <v>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103"/>
      <c r="C178" s="101"/>
      <c r="D178" s="104"/>
      <c r="E178" s="28" t="b">
        <v>0</v>
      </c>
      <c r="F178" s="2"/>
      <c r="G178" s="29" t="b">
        <v>0</v>
      </c>
      <c r="H178" s="30" t="b">
        <v>0</v>
      </c>
      <c r="I178" s="30" t="b">
        <v>0</v>
      </c>
      <c r="J178" s="28" t="b">
        <v>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103"/>
      <c r="C179" s="101"/>
      <c r="D179" s="104"/>
      <c r="E179" s="28" t="b">
        <v>0</v>
      </c>
      <c r="F179" s="2"/>
      <c r="G179" s="29" t="b">
        <v>0</v>
      </c>
      <c r="H179" s="30" t="b">
        <v>0</v>
      </c>
      <c r="I179" s="30" t="b">
        <v>0</v>
      </c>
      <c r="J179" s="28" t="b">
        <v>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103"/>
      <c r="C180" s="101"/>
      <c r="D180" s="104"/>
      <c r="E180" s="28" t="b">
        <v>0</v>
      </c>
      <c r="F180" s="2"/>
      <c r="G180" s="29" t="b">
        <v>0</v>
      </c>
      <c r="H180" s="30" t="b">
        <v>0</v>
      </c>
      <c r="I180" s="30" t="b">
        <v>0</v>
      </c>
      <c r="J180" s="28" t="b">
        <v>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103"/>
      <c r="C181" s="101"/>
      <c r="D181" s="104"/>
      <c r="E181" s="28" t="b">
        <v>0</v>
      </c>
      <c r="F181" s="2"/>
      <c r="G181" s="29" t="b">
        <v>0</v>
      </c>
      <c r="H181" s="30" t="b">
        <v>0</v>
      </c>
      <c r="I181" s="30" t="b">
        <v>0</v>
      </c>
      <c r="J181" s="28" t="b">
        <v>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103"/>
      <c r="C182" s="101"/>
      <c r="D182" s="104"/>
      <c r="E182" s="28" t="b">
        <v>0</v>
      </c>
      <c r="F182" s="2"/>
      <c r="G182" s="29" t="b">
        <v>0</v>
      </c>
      <c r="H182" s="30" t="b">
        <v>0</v>
      </c>
      <c r="I182" s="30" t="b">
        <v>0</v>
      </c>
      <c r="J182" s="28" t="b">
        <v>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103"/>
      <c r="C183" s="101"/>
      <c r="D183" s="104"/>
      <c r="E183" s="28" t="b">
        <v>0</v>
      </c>
      <c r="F183" s="2"/>
      <c r="G183" s="29" t="b">
        <v>0</v>
      </c>
      <c r="H183" s="30" t="b">
        <v>0</v>
      </c>
      <c r="I183" s="30" t="b">
        <v>0</v>
      </c>
      <c r="J183" s="28" t="b">
        <v>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103"/>
      <c r="C184" s="101"/>
      <c r="D184" s="104"/>
      <c r="E184" s="28" t="b">
        <v>0</v>
      </c>
      <c r="F184" s="2"/>
      <c r="G184" s="29" t="b">
        <v>0</v>
      </c>
      <c r="H184" s="30" t="b">
        <v>0</v>
      </c>
      <c r="I184" s="30" t="b">
        <v>0</v>
      </c>
      <c r="J184" s="28" t="b">
        <v>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103"/>
      <c r="C185" s="101"/>
      <c r="D185" s="104"/>
      <c r="E185" s="28" t="b">
        <v>0</v>
      </c>
      <c r="F185" s="2"/>
      <c r="G185" s="29" t="b">
        <v>0</v>
      </c>
      <c r="H185" s="30" t="b">
        <v>0</v>
      </c>
      <c r="I185" s="30" t="b">
        <v>0</v>
      </c>
      <c r="J185" s="28" t="b">
        <v>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103"/>
      <c r="C186" s="101"/>
      <c r="D186" s="104"/>
      <c r="E186" s="28" t="b">
        <v>0</v>
      </c>
      <c r="F186" s="2"/>
      <c r="G186" s="29" t="b">
        <v>0</v>
      </c>
      <c r="H186" s="30" t="b">
        <v>0</v>
      </c>
      <c r="I186" s="30" t="b">
        <v>0</v>
      </c>
      <c r="J186" s="28" t="b">
        <v>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103"/>
      <c r="C187" s="101"/>
      <c r="D187" s="104"/>
      <c r="E187" s="28" t="b">
        <v>0</v>
      </c>
      <c r="F187" s="2"/>
      <c r="G187" s="29" t="b">
        <v>0</v>
      </c>
      <c r="H187" s="30" t="b">
        <v>0</v>
      </c>
      <c r="I187" s="30" t="b">
        <v>0</v>
      </c>
      <c r="J187" s="28" t="b">
        <v>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103"/>
      <c r="C188" s="101"/>
      <c r="D188" s="104"/>
      <c r="E188" s="28" t="b">
        <v>0</v>
      </c>
      <c r="F188" s="2"/>
      <c r="G188" s="29" t="b">
        <v>0</v>
      </c>
      <c r="H188" s="30" t="b">
        <v>0</v>
      </c>
      <c r="I188" s="30" t="b">
        <v>0</v>
      </c>
      <c r="J188" s="28" t="b">
        <v>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103"/>
      <c r="C189" s="101"/>
      <c r="D189" s="104"/>
      <c r="E189" s="28" t="b">
        <v>0</v>
      </c>
      <c r="F189" s="2"/>
      <c r="G189" s="29" t="b">
        <v>0</v>
      </c>
      <c r="H189" s="30" t="b">
        <v>0</v>
      </c>
      <c r="I189" s="30" t="b">
        <v>0</v>
      </c>
      <c r="J189" s="28" t="b">
        <v>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103"/>
      <c r="C190" s="101"/>
      <c r="D190" s="104"/>
      <c r="E190" s="28" t="b">
        <v>0</v>
      </c>
      <c r="F190" s="2"/>
      <c r="G190" s="29" t="b">
        <v>0</v>
      </c>
      <c r="H190" s="30" t="b">
        <v>0</v>
      </c>
      <c r="I190" s="30" t="b">
        <v>0</v>
      </c>
      <c r="J190" s="28" t="b">
        <v>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103"/>
      <c r="C191" s="101"/>
      <c r="D191" s="104"/>
      <c r="E191" s="28" t="b">
        <v>0</v>
      </c>
      <c r="F191" s="2"/>
      <c r="G191" s="29" t="b">
        <v>0</v>
      </c>
      <c r="H191" s="30" t="b">
        <v>0</v>
      </c>
      <c r="I191" s="30" t="b">
        <v>0</v>
      </c>
      <c r="J191" s="28" t="b">
        <v>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103"/>
      <c r="C192" s="101"/>
      <c r="D192" s="104"/>
      <c r="E192" s="28" t="b">
        <v>0</v>
      </c>
      <c r="F192" s="2"/>
      <c r="G192" s="29" t="b">
        <v>0</v>
      </c>
      <c r="H192" s="30" t="b">
        <v>0</v>
      </c>
      <c r="I192" s="30" t="b">
        <v>0</v>
      </c>
      <c r="J192" s="28" t="b">
        <v>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103"/>
      <c r="C193" s="101"/>
      <c r="D193" s="104"/>
      <c r="E193" s="28" t="b">
        <v>0</v>
      </c>
      <c r="F193" s="2"/>
      <c r="G193" s="29" t="b">
        <v>0</v>
      </c>
      <c r="H193" s="30" t="b">
        <v>0</v>
      </c>
      <c r="I193" s="30" t="b">
        <v>0</v>
      </c>
      <c r="J193" s="28" t="b">
        <v>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103"/>
      <c r="C194" s="101"/>
      <c r="D194" s="104"/>
      <c r="E194" s="28" t="b">
        <v>0</v>
      </c>
      <c r="F194" s="2"/>
      <c r="G194" s="29" t="b">
        <v>0</v>
      </c>
      <c r="H194" s="30" t="b">
        <v>0</v>
      </c>
      <c r="I194" s="30" t="b">
        <v>0</v>
      </c>
      <c r="J194" s="28" t="b">
        <v>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103"/>
      <c r="C195" s="101"/>
      <c r="D195" s="104"/>
      <c r="E195" s="28" t="b">
        <v>0</v>
      </c>
      <c r="F195" s="2"/>
      <c r="G195" s="29" t="b">
        <v>0</v>
      </c>
      <c r="H195" s="30" t="b">
        <v>0</v>
      </c>
      <c r="I195" s="30" t="b">
        <v>0</v>
      </c>
      <c r="J195" s="28" t="b">
        <v>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103"/>
      <c r="C196" s="101"/>
      <c r="D196" s="104"/>
      <c r="E196" s="28" t="b">
        <v>0</v>
      </c>
      <c r="F196" s="2"/>
      <c r="G196" s="29" t="b">
        <v>0</v>
      </c>
      <c r="H196" s="30" t="b">
        <v>0</v>
      </c>
      <c r="I196" s="30" t="b">
        <v>0</v>
      </c>
      <c r="J196" s="28" t="b">
        <v>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103"/>
      <c r="C197" s="101"/>
      <c r="D197" s="104"/>
      <c r="E197" s="28" t="b">
        <v>0</v>
      </c>
      <c r="F197" s="2"/>
      <c r="G197" s="29" t="b">
        <v>0</v>
      </c>
      <c r="H197" s="30" t="b">
        <v>0</v>
      </c>
      <c r="I197" s="30" t="b">
        <v>0</v>
      </c>
      <c r="J197" s="28" t="b">
        <v>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103"/>
      <c r="C198" s="101"/>
      <c r="D198" s="104"/>
      <c r="E198" s="28" t="b">
        <v>0</v>
      </c>
      <c r="F198" s="2"/>
      <c r="G198" s="29" t="b">
        <v>0</v>
      </c>
      <c r="H198" s="30" t="b">
        <v>0</v>
      </c>
      <c r="I198" s="30" t="b">
        <v>0</v>
      </c>
      <c r="J198" s="28" t="b">
        <v>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103"/>
      <c r="C199" s="101"/>
      <c r="D199" s="104"/>
      <c r="E199" s="28" t="b">
        <v>0</v>
      </c>
      <c r="F199" s="2"/>
      <c r="G199" s="29" t="b">
        <v>0</v>
      </c>
      <c r="H199" s="30" t="b">
        <v>0</v>
      </c>
      <c r="I199" s="30" t="b">
        <v>0</v>
      </c>
      <c r="J199" s="28" t="b">
        <v>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108"/>
      <c r="C200" s="109"/>
      <c r="D200" s="110"/>
      <c r="E200" s="111" t="b">
        <v>0</v>
      </c>
      <c r="F200" s="112"/>
      <c r="G200" s="113" t="b">
        <v>0</v>
      </c>
      <c r="H200" s="114" t="b">
        <v>0</v>
      </c>
      <c r="I200" s="114" t="b">
        <v>0</v>
      </c>
      <c r="J200" s="111" t="b">
        <v>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115"/>
      <c r="D201" s="115"/>
      <c r="E201" s="2"/>
      <c r="F201" s="11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$B$2:$J$200">
    <sortState ref="B2:J200">
      <sortCondition ref="C2:C200"/>
      <sortCondition ref="D2:D200"/>
    </sortState>
  </autoFilter>
  <mergeCells count="1">
    <mergeCell ref="G1:J1"/>
  </mergeCells>
  <dataValidations>
    <dataValidation type="list" allowBlank="1" showErrorMessage="1" sqref="D62">
      <formula1>"Trinket Component (0/4),Trinket Component (1/4),Trinket Component (2/4),Trinket Component (3/4),Fiery Retributer,Gri'lek's Grinder,Gri'lek's Carver,Thoughtblighter,Ranataki's Soul Conduit,Pitchfork of Madness,Hoodoo Hunting Bow,Wushoolay's Poker"</formula1>
    </dataValidation>
    <dataValidation type="list" allowBlank="1" showErrorMessage="1" sqref="D25 D27 D29:D44 D49 D114">
      <formula1>"Heart of Hakkar,Cloak of Consumption,Seafury Gauntlets,Peacekeeper Gauntlets,Bloodsoaked Legplates,Soul Corrupters Necklace,The Eye of Hakkar,Touch of Chaos,Gurubashi Dwarf Destroyer,Aegis of the Blood God,Bloodcaller,Warblade of the Hakkari(MH),Ancient H"&amp;"akkari Manslayer,Fang of the Faceless,Zin'rokh, Destroyer of World"</formula1>
    </dataValidation>
    <dataValidation type="list" allowBlank="1" showErrorMessage="1" sqref="D64:D74">
      <formula1>"Swift Razzashi Raptor,Mandokir's Sting,Bloodlord's Defender,Warblade of the Hakkari(OH),Halberd of Smiting,Bloodsoaked Pauldrons,Hakkari Loa Cloak,Blooddrenched Grips,Bloodtinged Kilt,Animist's Leggings,Overlord's Crimson Band,Primalist's Seal,Zanzil's Se"&amp;"al"</formula1>
    </dataValidation>
    <dataValidation type="list" allowBlank="1" showErrorMessage="1" sqref="D3:D5 D7 D56 D92 D113 D118">
      <formula1>"Arlokk's Grasp,Will of Arlokk,Bloodsoaked Greaves,Overlord's Onyx Band,Arlokk's Hoodoo Stick,Panther Hide Sack"</formula1>
    </dataValidation>
    <dataValidation type="list" allowBlank="1" showErrorMessage="1" sqref="D75:D80">
      <formula1>"Flowing Ritual Robes,Marli's Touch,Talisman of Protection,Bloodstained Greaves,Band of Jin,Mar'li's Eye"</formula1>
    </dataValidation>
    <dataValidation type="list" allowBlank="1" showErrorMessage="1" sqref="D47:D48">
      <formula1>"Jeklik's Crusher,Jeklik's Opaline Talisman,Animist's Spaulders,Seafury Boots,Peacekeeper Boots,Primalist's Band,Zulian Defender"</formula1>
    </dataValidation>
    <dataValidation type="list" allowBlank="1" showErrorMessage="1" sqref="D26 D116">
      <formula1>"Foror's Eyepatch,Nat Pagle's Fish Terminator,Nat Pagle's Broken Reel,Tigule's Harpoon,Tome of Polymorph: Turtle"</formula1>
    </dataValidation>
    <dataValidation type="list" allowBlank="1" showErrorMessage="1" sqref="D8:D22 D84 D110 D115">
      <formula1>"Bloodseeker Shoulders,Golden Ceremonial Bloodletter (MH),Helm of Sacrifice,Mark of Thirst,Azus' Arrow Launcher,Berserker Blood Sample,Golden Ceremonial Bloodletter (OH)"</formula1>
    </dataValidation>
    <dataValidation type="list" allowBlank="1" showErrorMessage="1" sqref="D93:D103 D112 D120">
      <formula1>"Swift Zulian Tiger,Betrayer's Boots,Thekal's Grasp,Ritualistic Legguards,Seafury Leggings,Peacekeeper Leggings,Seal of Jin,Zulian Slicer"</formula1>
    </dataValidation>
    <dataValidation type="list" allowBlank="1" showErrorMessage="1" sqref="D104:D107 D109">
      <formula1>"Runed Bloodstained Hauberk,Fang of Venoxis,Zulian Tigerhide Cloak,Blooddrenched Footpads,Zanzil's Band,Zulian Stone Axe"</formula1>
    </dataValidation>
    <dataValidation type="list" allowBlank="1" showErrorMessage="1" sqref="D50:D55 D57:D61 D108 D117 D121">
      <formula1>"Jin'do's Evil Eye,Jin'do's Bag of Whammies,Jin'do's Hexxer,Jin'do's Judgement,The Hexxer's Cover,Bloodstained Coif,Overlord's Embrace,Bloodtinged Gloves,Bloodsoaked Gauntlets,Blooddrenched Leggings,Bloodstained Legplates,Animist's Boots"</formula1>
    </dataValidation>
    <dataValidation type="list" allowBlank="1" showErrorMessage="1" sqref="D45:D46">
      <formula1>"Relic Cleaver,Old Calico Hood,Ancient Golden Crown,Staff of the Swampwalker,Glove of Cure,Friendly Hand,Jinxed Bone Splinter,Ancient Bone Dagger"</formula1>
    </dataValidation>
    <dataValidation type="list" allowBlank="1" showErrorMessage="1" sqref="C3:C200">
      <formula1>zg_data!$A$1:$N$1</formula1>
    </dataValidation>
    <dataValidation type="list" allowBlank="1" showErrorMessage="1" sqref="D23 D28 D63 D81:D83 D85:D91 D123">
      <formula1>"Idol,Bijou,Gurubashi Helm,Shadow Panther Hide Gloves,Shadow Panther HIde Belt,Zulian Hacker,Sceptre of Smiting,Zulian Ceremonial Staff,Blood Scythe,Band of Servitude,Seal of the Gurubashi Berserker,Zulian Headdress,Blooddrenched Mask,Cloak of the Hakkari "&amp;"Worshipers,Might of the Tribe,Gloves of the Tormented,Sacrificial Gauntlets,Belt of Untapped Power,Zulian Scepter of Rites"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11</v>
      </c>
      <c r="C4" s="1" t="s">
        <v>12</v>
      </c>
    </row>
    <row r="5">
      <c r="A5" s="1" t="s">
        <v>13</v>
      </c>
    </row>
    <row r="6">
      <c r="A6" s="1" t="s">
        <v>14</v>
      </c>
    </row>
    <row r="7">
      <c r="A7" s="1" t="s">
        <v>15</v>
      </c>
      <c r="B7" s="1" t="s">
        <v>16</v>
      </c>
    </row>
    <row r="8">
      <c r="A8" s="1" t="s">
        <v>17</v>
      </c>
      <c r="B8" s="1" t="s">
        <v>18</v>
      </c>
      <c r="C8" s="1" t="s">
        <v>19</v>
      </c>
    </row>
    <row r="9">
      <c r="A9" s="1" t="s">
        <v>20</v>
      </c>
      <c r="B9" s="1" t="s">
        <v>21</v>
      </c>
      <c r="C9" s="1" t="s">
        <v>22</v>
      </c>
    </row>
    <row r="10">
      <c r="A10" s="1" t="s">
        <v>23</v>
      </c>
    </row>
    <row r="11">
      <c r="A11" s="1" t="s">
        <v>25</v>
      </c>
    </row>
    <row r="12">
      <c r="A12" s="1" t="s">
        <v>26</v>
      </c>
    </row>
    <row r="13">
      <c r="A13" s="1" t="s">
        <v>27</v>
      </c>
      <c r="B13" s="1" t="s">
        <v>28</v>
      </c>
    </row>
    <row r="14">
      <c r="A14" s="1" t="s">
        <v>29</v>
      </c>
      <c r="B14" s="1" t="s">
        <v>31</v>
      </c>
    </row>
    <row r="15">
      <c r="A15" s="1" t="s">
        <v>32</v>
      </c>
    </row>
    <row r="16">
      <c r="A16" s="1" t="s">
        <v>34</v>
      </c>
    </row>
    <row r="17">
      <c r="A17" s="1" t="s">
        <v>36</v>
      </c>
      <c r="B17" s="1" t="s">
        <v>37</v>
      </c>
    </row>
    <row r="18">
      <c r="A18" s="1" t="s">
        <v>39</v>
      </c>
      <c r="B18" s="1" t="s">
        <v>40</v>
      </c>
    </row>
    <row r="19">
      <c r="A19" s="1" t="s">
        <v>42</v>
      </c>
    </row>
    <row r="20">
      <c r="A20" s="1" t="s">
        <v>44</v>
      </c>
    </row>
    <row r="21">
      <c r="A21" s="1" t="s">
        <v>46</v>
      </c>
    </row>
    <row r="22">
      <c r="A22" s="1" t="s">
        <v>47</v>
      </c>
    </row>
    <row r="23">
      <c r="A23" s="1" t="s">
        <v>48</v>
      </c>
    </row>
    <row r="24">
      <c r="A24" s="1" t="s">
        <v>49</v>
      </c>
    </row>
    <row r="25">
      <c r="A25" s="1" t="s">
        <v>51</v>
      </c>
    </row>
    <row r="26">
      <c r="A26" s="1" t="s">
        <v>52</v>
      </c>
      <c r="B26" s="1" t="s">
        <v>54</v>
      </c>
      <c r="C26" s="1" t="s">
        <v>55</v>
      </c>
    </row>
    <row r="27">
      <c r="A27" s="1" t="s">
        <v>56</v>
      </c>
    </row>
    <row r="28">
      <c r="A28" s="1" t="s">
        <v>59</v>
      </c>
    </row>
    <row r="29">
      <c r="A29" s="1" t="s">
        <v>61</v>
      </c>
      <c r="B29" s="1" t="s">
        <v>62</v>
      </c>
    </row>
    <row r="30">
      <c r="A30" s="1" t="s">
        <v>63</v>
      </c>
    </row>
    <row r="31">
      <c r="A31" s="1" t="s">
        <v>66</v>
      </c>
    </row>
    <row r="32">
      <c r="A32" s="1" t="s">
        <v>67</v>
      </c>
    </row>
    <row r="33">
      <c r="A33" s="1" t="s">
        <v>68</v>
      </c>
    </row>
    <row r="34">
      <c r="A34" s="1" t="s">
        <v>69</v>
      </c>
    </row>
    <row r="35">
      <c r="A35" s="1" t="s">
        <v>70</v>
      </c>
    </row>
    <row r="36">
      <c r="A36" s="1" t="s">
        <v>71</v>
      </c>
      <c r="B36" s="1" t="s">
        <v>72</v>
      </c>
      <c r="C36" s="1" t="s">
        <v>73</v>
      </c>
      <c r="D36" s="1" t="s">
        <v>74</v>
      </c>
    </row>
    <row r="37">
      <c r="A37" s="1" t="s">
        <v>77</v>
      </c>
    </row>
    <row r="38">
      <c r="A38" s="1" t="s">
        <v>79</v>
      </c>
    </row>
    <row r="39">
      <c r="A39" s="1" t="s">
        <v>80</v>
      </c>
    </row>
    <row r="40">
      <c r="A40" s="1" t="s">
        <v>84</v>
      </c>
    </row>
    <row r="41">
      <c r="A41" s="1" t="s">
        <v>86</v>
      </c>
    </row>
    <row r="42">
      <c r="A42" s="1" t="s">
        <v>88</v>
      </c>
    </row>
    <row r="43">
      <c r="A43" s="1" t="s">
        <v>89</v>
      </c>
    </row>
    <row r="44">
      <c r="A44" s="1" t="s">
        <v>90</v>
      </c>
    </row>
    <row r="45">
      <c r="A45" s="1" t="s">
        <v>91</v>
      </c>
    </row>
    <row r="46">
      <c r="A46" s="1" t="s">
        <v>93</v>
      </c>
    </row>
    <row r="47">
      <c r="A47" s="1" t="s">
        <v>94</v>
      </c>
    </row>
    <row r="48">
      <c r="A48" s="1" t="s">
        <v>97</v>
      </c>
    </row>
    <row r="49">
      <c r="A49" s="1" t="s">
        <v>100</v>
      </c>
    </row>
    <row r="50">
      <c r="A50" s="1" t="s">
        <v>103</v>
      </c>
    </row>
    <row r="51">
      <c r="A51" s="1" t="s">
        <v>104</v>
      </c>
      <c r="B51" s="1" t="s">
        <v>105</v>
      </c>
      <c r="C51" s="1" t="s">
        <v>106</v>
      </c>
      <c r="D51" s="1" t="s">
        <v>107</v>
      </c>
    </row>
    <row r="52">
      <c r="A52" s="1" t="s">
        <v>108</v>
      </c>
    </row>
    <row r="53">
      <c r="A53" s="1" t="s">
        <v>109</v>
      </c>
    </row>
    <row r="54">
      <c r="A54" s="1" t="s">
        <v>111</v>
      </c>
    </row>
    <row r="55">
      <c r="A55" s="1" t="s">
        <v>114</v>
      </c>
    </row>
    <row r="56">
      <c r="A56" s="1" t="s">
        <v>117</v>
      </c>
    </row>
    <row r="57">
      <c r="A57" s="1" t="s">
        <v>119</v>
      </c>
    </row>
    <row r="58">
      <c r="A58" s="1" t="s">
        <v>120</v>
      </c>
      <c r="B58" s="1" t="s">
        <v>121</v>
      </c>
      <c r="C58" s="1" t="s">
        <v>84</v>
      </c>
      <c r="D58" s="1" t="s">
        <v>124</v>
      </c>
    </row>
    <row r="59">
      <c r="A59" s="1" t="s">
        <v>125</v>
      </c>
    </row>
    <row r="60">
      <c r="A60" s="1" t="s">
        <v>128</v>
      </c>
    </row>
    <row r="61">
      <c r="A61" s="1" t="s">
        <v>130</v>
      </c>
    </row>
    <row r="62">
      <c r="A62" s="1" t="s">
        <v>131</v>
      </c>
    </row>
    <row r="63">
      <c r="A63" s="1" t="s">
        <v>132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5" max="5" width="18.75"/>
    <col customWidth="1" min="7" max="7" width="26.88"/>
    <col customWidth="1" min="8" max="8" width="37.5"/>
  </cols>
  <sheetData>
    <row r="1" ht="22.5" customHeight="1">
      <c r="A1" s="49" t="s">
        <v>209</v>
      </c>
      <c r="B1" s="49" t="s">
        <v>214</v>
      </c>
      <c r="C1" s="49" t="s">
        <v>215</v>
      </c>
    </row>
    <row r="2" ht="22.5" customHeight="1">
      <c r="A2" s="50" t="s">
        <v>220</v>
      </c>
      <c r="B2" s="50" t="s">
        <v>75</v>
      </c>
      <c r="C2" s="52">
        <v>45773.0</v>
      </c>
      <c r="E2" s="53" t="s">
        <v>225</v>
      </c>
      <c r="F2" s="53" t="s">
        <v>226</v>
      </c>
      <c r="G2" s="53" t="s">
        <v>227</v>
      </c>
      <c r="H2" s="53"/>
    </row>
    <row r="3" ht="22.5" customHeight="1">
      <c r="A3" s="50" t="s">
        <v>201</v>
      </c>
      <c r="B3" s="50" t="s">
        <v>61</v>
      </c>
      <c r="C3" s="52">
        <v>45773.0</v>
      </c>
      <c r="E3" s="53" t="s">
        <v>240</v>
      </c>
      <c r="F3" s="1" t="s">
        <v>97</v>
      </c>
      <c r="G3" s="56" t="str">
        <f>IFERROR(__xludf.DUMMYFUNCTION("FILTER(A2:A808 &amp; "" - "" &amp; TEXT(C2:C808, ""dd-mm-yyyy""), B2:B808=F3)
"),"#N/A")</f>
        <v>#N/A</v>
      </c>
    </row>
    <row r="4" ht="22.5" customHeight="1">
      <c r="A4" s="50" t="s">
        <v>255</v>
      </c>
      <c r="B4" s="50" t="s">
        <v>34</v>
      </c>
      <c r="C4" s="52">
        <v>45773.0</v>
      </c>
    </row>
    <row r="5" ht="22.5" customHeight="1">
      <c r="A5" s="50" t="s">
        <v>260</v>
      </c>
      <c r="B5" s="58" t="s">
        <v>54</v>
      </c>
      <c r="C5" s="52">
        <v>45773.0</v>
      </c>
    </row>
    <row r="6" ht="22.5" customHeight="1">
      <c r="A6" s="50" t="s">
        <v>165</v>
      </c>
      <c r="B6" s="50" t="s">
        <v>95</v>
      </c>
      <c r="C6" s="52">
        <v>45780.0</v>
      </c>
    </row>
    <row r="7" ht="22.5" customHeight="1">
      <c r="A7" s="50" t="s">
        <v>272</v>
      </c>
      <c r="B7" s="50" t="s">
        <v>75</v>
      </c>
      <c r="C7" s="52">
        <v>45780.0</v>
      </c>
    </row>
    <row r="8" ht="22.5" customHeight="1">
      <c r="A8" s="50" t="s">
        <v>274</v>
      </c>
      <c r="B8" s="50" t="s">
        <v>75</v>
      </c>
      <c r="C8" s="52">
        <v>45780.0</v>
      </c>
    </row>
    <row r="9" ht="22.5" customHeight="1">
      <c r="A9" s="50" t="s">
        <v>278</v>
      </c>
      <c r="B9" s="50" t="s">
        <v>93</v>
      </c>
      <c r="C9" s="52">
        <v>45780.0</v>
      </c>
    </row>
    <row r="10" ht="22.5" customHeight="1">
      <c r="A10" s="50" t="s">
        <v>224</v>
      </c>
      <c r="B10" s="50" t="s">
        <v>67</v>
      </c>
      <c r="C10" s="52">
        <v>45780.0</v>
      </c>
    </row>
    <row r="11" ht="22.5" customHeight="1">
      <c r="A11" s="50" t="s">
        <v>287</v>
      </c>
      <c r="B11" s="50" t="s">
        <v>59</v>
      </c>
      <c r="C11" s="52">
        <v>45780.0</v>
      </c>
    </row>
    <row r="12" ht="22.5" customHeight="1">
      <c r="A12" s="50" t="s">
        <v>129</v>
      </c>
      <c r="B12" s="50" t="s">
        <v>95</v>
      </c>
      <c r="C12" s="52">
        <v>45787.0</v>
      </c>
    </row>
    <row r="13" ht="22.5" customHeight="1">
      <c r="A13" s="50" t="s">
        <v>293</v>
      </c>
      <c r="B13" s="58" t="s">
        <v>80</v>
      </c>
      <c r="C13" s="52">
        <v>45787.0</v>
      </c>
    </row>
    <row r="14" ht="22.5" customHeight="1">
      <c r="A14" s="50" t="s">
        <v>299</v>
      </c>
      <c r="B14" s="58" t="s">
        <v>80</v>
      </c>
      <c r="C14" s="52">
        <v>45787.0</v>
      </c>
    </row>
    <row r="15" ht="22.5" customHeight="1">
      <c r="A15" s="50" t="s">
        <v>303</v>
      </c>
      <c r="B15" s="50" t="s">
        <v>49</v>
      </c>
      <c r="C15" s="52">
        <v>45787.0</v>
      </c>
    </row>
    <row r="16" ht="22.5" customHeight="1">
      <c r="A16" s="50" t="s">
        <v>306</v>
      </c>
      <c r="B16" s="50" t="s">
        <v>29</v>
      </c>
      <c r="C16" s="52">
        <v>45787.0</v>
      </c>
    </row>
    <row r="17" ht="22.5" customHeight="1">
      <c r="A17" s="50" t="s">
        <v>101</v>
      </c>
      <c r="B17" s="50" t="s">
        <v>26</v>
      </c>
      <c r="C17" s="52">
        <v>45787.0</v>
      </c>
    </row>
    <row r="18" ht="22.5" customHeight="1">
      <c r="A18" s="50" t="s">
        <v>101</v>
      </c>
      <c r="B18" s="50" t="s">
        <v>52</v>
      </c>
      <c r="C18" s="52">
        <v>45787.0</v>
      </c>
    </row>
    <row r="19" ht="22.5" customHeight="1">
      <c r="A19" s="50" t="s">
        <v>275</v>
      </c>
      <c r="B19" s="58" t="s">
        <v>77</v>
      </c>
      <c r="C19" s="52">
        <v>45794.0</v>
      </c>
    </row>
    <row r="20" ht="22.5" customHeight="1">
      <c r="A20" s="50" t="s">
        <v>320</v>
      </c>
      <c r="B20" s="50" t="s">
        <v>80</v>
      </c>
      <c r="C20" s="52">
        <v>45794.0</v>
      </c>
    </row>
    <row r="21" ht="22.5" customHeight="1">
      <c r="A21" s="50" t="s">
        <v>176</v>
      </c>
      <c r="B21" s="50" t="s">
        <v>75</v>
      </c>
      <c r="C21" s="52">
        <v>45794.0</v>
      </c>
    </row>
    <row r="22" ht="22.5" customHeight="1">
      <c r="A22" s="50" t="s">
        <v>329</v>
      </c>
      <c r="B22" s="50" t="s">
        <v>67</v>
      </c>
      <c r="C22" s="52">
        <v>45794.0</v>
      </c>
    </row>
    <row r="23" ht="22.5" customHeight="1">
      <c r="A23" s="50" t="s">
        <v>332</v>
      </c>
      <c r="B23" s="50" t="s">
        <v>67</v>
      </c>
      <c r="C23" s="52">
        <v>45794.0</v>
      </c>
    </row>
    <row r="24" ht="22.5" customHeight="1">
      <c r="A24" s="50" t="s">
        <v>303</v>
      </c>
      <c r="B24" s="50" t="s">
        <v>66</v>
      </c>
      <c r="C24" s="52">
        <v>45794.0</v>
      </c>
    </row>
    <row r="25" ht="22.5" customHeight="1">
      <c r="A25" s="50" t="s">
        <v>272</v>
      </c>
      <c r="B25" s="58" t="s">
        <v>69</v>
      </c>
      <c r="C25" s="52">
        <v>45794.0</v>
      </c>
    </row>
    <row r="26" ht="22.5" customHeight="1">
      <c r="A26" s="50" t="s">
        <v>102</v>
      </c>
      <c r="B26" s="58" t="s">
        <v>52</v>
      </c>
      <c r="C26" s="52">
        <v>45794.0</v>
      </c>
    </row>
    <row r="27" ht="22.5" customHeight="1">
      <c r="A27" s="50" t="s">
        <v>343</v>
      </c>
      <c r="B27" s="58" t="s">
        <v>75</v>
      </c>
      <c r="C27" s="52">
        <v>45801.0</v>
      </c>
    </row>
    <row r="28" ht="22.5" customHeight="1">
      <c r="A28" s="50" t="s">
        <v>347</v>
      </c>
      <c r="B28" s="50" t="s">
        <v>29</v>
      </c>
      <c r="C28" s="52">
        <v>45801.0</v>
      </c>
    </row>
    <row r="29" ht="22.5" customHeight="1">
      <c r="A29" s="50" t="s">
        <v>192</v>
      </c>
      <c r="B29" s="50" t="s">
        <v>66</v>
      </c>
      <c r="C29" s="52">
        <v>45801.0</v>
      </c>
    </row>
    <row r="30" ht="22.5" customHeight="1">
      <c r="A30" s="50" t="s">
        <v>237</v>
      </c>
      <c r="B30" s="50" t="s">
        <v>84</v>
      </c>
      <c r="C30" s="52">
        <v>45801.0</v>
      </c>
    </row>
    <row r="31" ht="22.5" customHeight="1">
      <c r="A31" s="50" t="s">
        <v>356</v>
      </c>
      <c r="B31" s="50" t="s">
        <v>68</v>
      </c>
      <c r="C31" s="52">
        <v>45808.0</v>
      </c>
    </row>
    <row r="32" ht="22.5" customHeight="1">
      <c r="A32" s="50" t="s">
        <v>165</v>
      </c>
      <c r="B32" s="50" t="s">
        <v>48</v>
      </c>
      <c r="C32" s="52">
        <v>45808.0</v>
      </c>
    </row>
    <row r="33" ht="22.5" customHeight="1">
      <c r="A33" s="50" t="s">
        <v>358</v>
      </c>
      <c r="B33" s="50" t="s">
        <v>6</v>
      </c>
      <c r="C33" s="52">
        <v>45815.0</v>
      </c>
    </row>
    <row r="34" ht="22.5" customHeight="1">
      <c r="A34" s="50" t="s">
        <v>362</v>
      </c>
      <c r="B34" s="58" t="s">
        <v>2</v>
      </c>
      <c r="C34" s="52">
        <v>45822.0</v>
      </c>
    </row>
    <row r="35" ht="22.5" customHeight="1">
      <c r="A35" s="50" t="s">
        <v>365</v>
      </c>
      <c r="B35" s="58" t="s">
        <v>2</v>
      </c>
      <c r="C35" s="52">
        <v>45822.0</v>
      </c>
    </row>
    <row r="36" ht="22.5" customHeight="1">
      <c r="A36" s="50" t="s">
        <v>368</v>
      </c>
      <c r="B36" s="50" t="s">
        <v>93</v>
      </c>
      <c r="C36" s="52">
        <v>45822.0</v>
      </c>
    </row>
    <row r="37" ht="22.5" customHeight="1">
      <c r="A37" s="50" t="s">
        <v>372</v>
      </c>
      <c r="B37" s="50" t="s">
        <v>39</v>
      </c>
      <c r="C37" s="52">
        <v>45822.0</v>
      </c>
    </row>
    <row r="38" ht="22.5" customHeight="1">
      <c r="A38" s="50" t="s">
        <v>376</v>
      </c>
      <c r="B38" s="50" t="s">
        <v>39</v>
      </c>
      <c r="C38" s="52">
        <v>45822.0</v>
      </c>
    </row>
    <row r="39" ht="22.5" customHeight="1">
      <c r="A39" s="50" t="s">
        <v>96</v>
      </c>
      <c r="B39" s="50" t="s">
        <v>47</v>
      </c>
      <c r="C39" s="52">
        <v>45822.0</v>
      </c>
    </row>
    <row r="40" ht="22.5" customHeight="1">
      <c r="A40" s="50" t="s">
        <v>133</v>
      </c>
      <c r="B40" s="50" t="s">
        <v>26</v>
      </c>
      <c r="C40" s="52">
        <v>45822.0</v>
      </c>
    </row>
    <row r="41" ht="22.5" customHeight="1">
      <c r="A41" s="50" t="s">
        <v>244</v>
      </c>
      <c r="B41" s="50" t="s">
        <v>29</v>
      </c>
      <c r="C41" s="52">
        <v>45829.0</v>
      </c>
    </row>
    <row r="42" ht="22.5" customHeight="1">
      <c r="A42" s="50" t="s">
        <v>101</v>
      </c>
      <c r="B42" s="50" t="s">
        <v>48</v>
      </c>
      <c r="C42" s="52">
        <v>45836.0</v>
      </c>
    </row>
    <row r="43" ht="22.5" customHeight="1">
      <c r="A43" s="50" t="s">
        <v>149</v>
      </c>
      <c r="B43" s="50" t="s">
        <v>32</v>
      </c>
      <c r="C43" s="52">
        <v>45836.0</v>
      </c>
    </row>
    <row r="44" ht="22.5" customHeight="1">
      <c r="A44" s="50" t="s">
        <v>281</v>
      </c>
      <c r="B44" s="50" t="s">
        <v>29</v>
      </c>
      <c r="C44" s="52">
        <v>45836.0</v>
      </c>
    </row>
    <row r="45" ht="22.5" customHeight="1">
      <c r="A45" s="50" t="s">
        <v>102</v>
      </c>
      <c r="B45" s="58" t="s">
        <v>104</v>
      </c>
      <c r="C45" s="52">
        <v>45836.0</v>
      </c>
    </row>
    <row r="46" ht="22.5" customHeight="1">
      <c r="A46" s="50" t="s">
        <v>303</v>
      </c>
      <c r="B46" s="50" t="s">
        <v>47</v>
      </c>
      <c r="C46" s="52">
        <v>45836.0</v>
      </c>
    </row>
    <row r="47" ht="22.5" customHeight="1">
      <c r="A47" s="50" t="s">
        <v>320</v>
      </c>
      <c r="B47" s="50" t="s">
        <v>84</v>
      </c>
      <c r="C47" s="52">
        <v>45836.0</v>
      </c>
    </row>
    <row r="48" ht="22.5" customHeight="1">
      <c r="A48" s="50" t="s">
        <v>192</v>
      </c>
      <c r="B48" s="58" t="s">
        <v>52</v>
      </c>
      <c r="C48" s="52">
        <v>45836.0</v>
      </c>
    </row>
    <row r="49" ht="22.5" customHeight="1">
      <c r="A49" s="50" t="s">
        <v>85</v>
      </c>
      <c r="B49" s="50" t="s">
        <v>49</v>
      </c>
      <c r="C49" s="52">
        <v>45837.0</v>
      </c>
    </row>
    <row r="50" ht="22.5" customHeight="1">
      <c r="A50" s="50" t="s">
        <v>237</v>
      </c>
      <c r="B50" s="50" t="s">
        <v>89</v>
      </c>
      <c r="C50" s="52">
        <v>45837.0</v>
      </c>
    </row>
    <row r="51" ht="22.5" customHeight="1">
      <c r="A51" s="50" t="s">
        <v>364</v>
      </c>
      <c r="B51" s="50" t="s">
        <v>61</v>
      </c>
      <c r="C51" s="52">
        <v>45837.0</v>
      </c>
    </row>
    <row r="52" ht="22.5" customHeight="1">
      <c r="A52" s="50" t="s">
        <v>134</v>
      </c>
      <c r="B52" s="50" t="s">
        <v>61</v>
      </c>
      <c r="C52" s="52">
        <v>45837.0</v>
      </c>
    </row>
    <row r="53" ht="22.5" customHeight="1">
      <c r="A53" s="50" t="s">
        <v>402</v>
      </c>
      <c r="B53" s="50" t="s">
        <v>2</v>
      </c>
      <c r="C53" s="52">
        <v>45837.0</v>
      </c>
    </row>
    <row r="54" ht="22.5" customHeight="1">
      <c r="A54" s="50" t="s">
        <v>269</v>
      </c>
      <c r="B54" s="50" t="s">
        <v>49</v>
      </c>
      <c r="C54" s="52">
        <v>45843.0</v>
      </c>
    </row>
    <row r="55" ht="22.5" customHeight="1">
      <c r="A55" s="50" t="s">
        <v>412</v>
      </c>
      <c r="B55" s="50" t="s">
        <v>91</v>
      </c>
      <c r="C55" s="52">
        <v>45843.0</v>
      </c>
    </row>
    <row r="56" ht="22.5" customHeight="1">
      <c r="A56" s="50" t="s">
        <v>320</v>
      </c>
      <c r="B56" s="58" t="s">
        <v>52</v>
      </c>
      <c r="C56" s="52">
        <v>45843.0</v>
      </c>
    </row>
    <row r="57" ht="22.5" customHeight="1">
      <c r="A57" s="80" t="s">
        <v>202</v>
      </c>
      <c r="B57" s="80" t="s">
        <v>67</v>
      </c>
      <c r="C57" s="81">
        <v>45844.0</v>
      </c>
    </row>
    <row r="58" ht="22.5" customHeight="1">
      <c r="A58" s="82" t="s">
        <v>96</v>
      </c>
      <c r="B58" s="82" t="s">
        <v>26</v>
      </c>
      <c r="C58" s="83">
        <v>45850.0</v>
      </c>
    </row>
    <row r="59" ht="22.5" customHeight="1">
      <c r="A59" s="82" t="s">
        <v>362</v>
      </c>
      <c r="B59" s="82" t="s">
        <v>6</v>
      </c>
      <c r="C59" s="83">
        <v>45850.0</v>
      </c>
    </row>
    <row r="60" ht="22.5" customHeight="1">
      <c r="A60" s="82" t="s">
        <v>152</v>
      </c>
      <c r="B60" s="82" t="s">
        <v>2</v>
      </c>
      <c r="C60" s="83">
        <v>45850.0</v>
      </c>
    </row>
    <row r="61" ht="22.5" customHeight="1">
      <c r="A61" s="88" t="s">
        <v>423</v>
      </c>
      <c r="B61" s="88" t="s">
        <v>23</v>
      </c>
      <c r="C61" s="89">
        <v>45851.0</v>
      </c>
    </row>
    <row r="62" ht="22.5" customHeight="1">
      <c r="A62" s="88" t="s">
        <v>426</v>
      </c>
      <c r="B62" s="88" t="s">
        <v>88</v>
      </c>
      <c r="C62" s="89">
        <v>45851.0</v>
      </c>
    </row>
    <row r="63" ht="22.5" customHeight="1">
      <c r="A63" s="88" t="s">
        <v>163</v>
      </c>
      <c r="B63" s="88" t="s">
        <v>52</v>
      </c>
      <c r="C63" s="89">
        <v>45851.0</v>
      </c>
    </row>
    <row r="64" ht="22.5" customHeight="1">
      <c r="A64" s="88" t="s">
        <v>193</v>
      </c>
      <c r="B64" s="88" t="s">
        <v>48</v>
      </c>
      <c r="C64" s="89">
        <v>45851.0</v>
      </c>
    </row>
    <row r="65" ht="22.5" customHeight="1">
      <c r="A65" s="90" t="s">
        <v>237</v>
      </c>
      <c r="B65" s="90" t="s">
        <v>49</v>
      </c>
      <c r="C65" s="91">
        <v>45857.0</v>
      </c>
    </row>
    <row r="66" ht="22.5" customHeight="1">
      <c r="A66" s="90" t="s">
        <v>303</v>
      </c>
      <c r="B66" s="90" t="s">
        <v>52</v>
      </c>
      <c r="C66" s="91">
        <v>45857.0</v>
      </c>
    </row>
    <row r="67" ht="22.5" customHeight="1">
      <c r="A67" s="90" t="s">
        <v>101</v>
      </c>
      <c r="B67" s="90" t="s">
        <v>59</v>
      </c>
      <c r="C67" s="91">
        <v>45857.0</v>
      </c>
    </row>
    <row r="68" ht="22.5" customHeight="1">
      <c r="A68" s="90" t="s">
        <v>101</v>
      </c>
      <c r="B68" s="90" t="s">
        <v>9</v>
      </c>
      <c r="C68" s="91">
        <v>45857.0</v>
      </c>
    </row>
    <row r="69" ht="22.5" customHeight="1">
      <c r="A69" s="90" t="s">
        <v>443</v>
      </c>
      <c r="B69" s="90" t="s">
        <v>26</v>
      </c>
      <c r="C69" s="91">
        <v>45857.0</v>
      </c>
    </row>
    <row r="70" ht="22.5" customHeight="1">
      <c r="A70" s="90" t="s">
        <v>237</v>
      </c>
      <c r="B70" s="90" t="s">
        <v>66</v>
      </c>
      <c r="C70" s="91">
        <v>45857.0</v>
      </c>
    </row>
    <row r="71" ht="22.5" customHeight="1">
      <c r="A71" s="90" t="s">
        <v>447</v>
      </c>
      <c r="B71" s="90" t="s">
        <v>59</v>
      </c>
      <c r="C71" s="91">
        <v>45857.0</v>
      </c>
    </row>
    <row r="72" ht="22.5" customHeight="1">
      <c r="A72" s="90" t="s">
        <v>278</v>
      </c>
      <c r="B72" s="90" t="s">
        <v>48</v>
      </c>
      <c r="C72" s="91">
        <v>45858.0</v>
      </c>
    </row>
    <row r="73" ht="22.5" customHeight="1">
      <c r="A73" s="90" t="s">
        <v>322</v>
      </c>
      <c r="B73" s="90" t="s">
        <v>79</v>
      </c>
      <c r="C73" s="91">
        <v>45858.0</v>
      </c>
    </row>
    <row r="74" ht="22.5" customHeight="1">
      <c r="A74" s="90" t="s">
        <v>272</v>
      </c>
      <c r="B74" s="90" t="s">
        <v>88</v>
      </c>
      <c r="C74" s="91">
        <v>45864.0</v>
      </c>
    </row>
    <row r="75" ht="22.5" customHeight="1">
      <c r="A75" s="90" t="s">
        <v>165</v>
      </c>
      <c r="B75" s="90" t="s">
        <v>9</v>
      </c>
      <c r="C75" s="91">
        <v>45864.0</v>
      </c>
    </row>
    <row r="76" ht="22.5" customHeight="1">
      <c r="A76" s="90" t="s">
        <v>102</v>
      </c>
      <c r="B76" s="90" t="s">
        <v>44</v>
      </c>
      <c r="C76" s="91">
        <v>45864.0</v>
      </c>
    </row>
    <row r="77" ht="22.5" customHeight="1">
      <c r="A77" s="90" t="s">
        <v>453</v>
      </c>
      <c r="B77" s="90" t="s">
        <v>455</v>
      </c>
      <c r="C77" s="91">
        <v>45864.0</v>
      </c>
    </row>
    <row r="78" ht="22.5" customHeight="1">
      <c r="A78" s="90" t="s">
        <v>432</v>
      </c>
      <c r="B78" s="90" t="s">
        <v>88</v>
      </c>
      <c r="C78" s="91">
        <v>45864.0</v>
      </c>
    </row>
    <row r="79" ht="22.5" customHeight="1">
      <c r="A79" s="90" t="s">
        <v>320</v>
      </c>
      <c r="B79" s="90" t="s">
        <v>2</v>
      </c>
      <c r="C79" s="91">
        <v>45864.0</v>
      </c>
    </row>
    <row r="80" ht="22.5" customHeight="1">
      <c r="A80" s="90" t="s">
        <v>459</v>
      </c>
      <c r="B80" s="90" t="s">
        <v>59</v>
      </c>
      <c r="C80" s="91">
        <v>45864.0</v>
      </c>
    </row>
    <row r="81" ht="22.5" customHeight="1">
      <c r="A81" s="90" t="s">
        <v>201</v>
      </c>
      <c r="B81" s="90" t="s">
        <v>46</v>
      </c>
      <c r="C81" s="91">
        <v>45864.0</v>
      </c>
    </row>
    <row r="82" ht="22.5" customHeight="1">
      <c r="A82" s="90" t="s">
        <v>302</v>
      </c>
      <c r="B82" s="90" t="s">
        <v>6</v>
      </c>
      <c r="C82" s="91">
        <v>45864.0</v>
      </c>
    </row>
    <row r="83" ht="22.5" customHeight="1">
      <c r="A83" s="90" t="s">
        <v>237</v>
      </c>
      <c r="B83" s="90" t="s">
        <v>52</v>
      </c>
      <c r="C83" s="91">
        <v>45865.0</v>
      </c>
    </row>
    <row r="84" ht="22.5" customHeight="1">
      <c r="A84" s="90" t="s">
        <v>464</v>
      </c>
      <c r="B84" s="90" t="s">
        <v>32</v>
      </c>
      <c r="C84" s="91">
        <v>45871.0</v>
      </c>
    </row>
    <row r="85" ht="22.5" customHeight="1">
      <c r="A85" s="90" t="s">
        <v>255</v>
      </c>
      <c r="B85" s="90" t="s">
        <v>52</v>
      </c>
      <c r="C85" s="91">
        <v>45871.0</v>
      </c>
    </row>
    <row r="86" ht="22.5" customHeight="1">
      <c r="A86" s="90" t="s">
        <v>303</v>
      </c>
      <c r="B86" s="90" t="s">
        <v>84</v>
      </c>
      <c r="C86" s="91">
        <v>45871.0</v>
      </c>
    </row>
    <row r="87" ht="22.5" customHeight="1">
      <c r="A87" s="90" t="s">
        <v>469</v>
      </c>
      <c r="B87" s="90" t="s">
        <v>69</v>
      </c>
      <c r="C87" s="91">
        <v>45871.0</v>
      </c>
    </row>
    <row r="88" ht="22.5" customHeight="1">
      <c r="A88" s="90" t="s">
        <v>470</v>
      </c>
      <c r="B88" s="90" t="s">
        <v>88</v>
      </c>
      <c r="C88" s="91">
        <v>45871.0</v>
      </c>
    </row>
    <row r="89" ht="22.5" customHeight="1">
      <c r="A89" s="90" t="s">
        <v>212</v>
      </c>
      <c r="B89" s="90" t="s">
        <v>122</v>
      </c>
      <c r="C89" s="91">
        <v>45871.0</v>
      </c>
    </row>
    <row r="90" ht="22.5" customHeight="1">
      <c r="A90" s="90" t="s">
        <v>101</v>
      </c>
      <c r="B90" s="90" t="s">
        <v>29</v>
      </c>
      <c r="C90" s="91">
        <v>45871.0</v>
      </c>
    </row>
    <row r="91" ht="22.5" customHeight="1">
      <c r="A91" s="90" t="s">
        <v>255</v>
      </c>
      <c r="B91" s="90" t="s">
        <v>2</v>
      </c>
      <c r="C91" s="91">
        <v>45871.0</v>
      </c>
    </row>
    <row r="92" ht="22.5" customHeight="1">
      <c r="A92" s="90" t="s">
        <v>96</v>
      </c>
      <c r="B92" s="90" t="s">
        <v>14</v>
      </c>
      <c r="C92" s="91">
        <v>45871.0</v>
      </c>
    </row>
    <row r="93" ht="22.5" customHeight="1">
      <c r="A93" s="90" t="s">
        <v>320</v>
      </c>
      <c r="B93" s="90" t="s">
        <v>2</v>
      </c>
      <c r="C93" s="91">
        <v>45871.0</v>
      </c>
    </row>
    <row r="94" ht="22.5" customHeight="1">
      <c r="A94" s="90" t="s">
        <v>320</v>
      </c>
      <c r="B94" s="90" t="s">
        <v>47</v>
      </c>
      <c r="C94" s="91">
        <v>45871.0</v>
      </c>
    </row>
    <row r="95" ht="22.5" customHeight="1">
      <c r="A95" s="90" t="s">
        <v>479</v>
      </c>
      <c r="B95" s="90" t="s">
        <v>51</v>
      </c>
      <c r="C95" s="91">
        <v>45871.0</v>
      </c>
    </row>
    <row r="96" ht="22.5" customHeight="1">
      <c r="A96" s="90" t="s">
        <v>277</v>
      </c>
      <c r="B96" s="90" t="s">
        <v>23</v>
      </c>
      <c r="C96" s="91">
        <v>45872.0</v>
      </c>
    </row>
    <row r="97" ht="22.5" customHeight="1">
      <c r="A97" s="90" t="s">
        <v>482</v>
      </c>
      <c r="B97" s="90" t="s">
        <v>61</v>
      </c>
      <c r="C97" s="91">
        <v>45872.0</v>
      </c>
    </row>
    <row r="98" ht="22.5" customHeight="1">
      <c r="A98" s="90" t="s">
        <v>275</v>
      </c>
      <c r="B98" s="90" t="s">
        <v>29</v>
      </c>
      <c r="C98" s="91">
        <v>45872.0</v>
      </c>
    </row>
    <row r="99" ht="22.5" customHeight="1">
      <c r="A99" s="90" t="s">
        <v>484</v>
      </c>
      <c r="B99" s="90" t="s">
        <v>34</v>
      </c>
      <c r="C99" s="91">
        <v>45872.0</v>
      </c>
    </row>
    <row r="100" ht="22.5" customHeight="1">
      <c r="A100" s="90" t="s">
        <v>192</v>
      </c>
      <c r="B100" s="90" t="s">
        <v>63</v>
      </c>
      <c r="C100" s="91">
        <v>45872.0</v>
      </c>
    </row>
    <row r="101" ht="22.5" customHeight="1">
      <c r="A101" s="90" t="s">
        <v>443</v>
      </c>
      <c r="B101" s="90" t="s">
        <v>120</v>
      </c>
      <c r="C101" s="91">
        <v>45872.0</v>
      </c>
    </row>
    <row r="102" ht="22.5" customHeight="1">
      <c r="A102" s="90" t="s">
        <v>163</v>
      </c>
      <c r="B102" s="90" t="s">
        <v>59</v>
      </c>
      <c r="C102" s="91">
        <v>45872.0</v>
      </c>
    </row>
    <row r="103" ht="22.5" customHeight="1">
      <c r="A103" s="90" t="s">
        <v>372</v>
      </c>
      <c r="B103" s="90" t="s">
        <v>6</v>
      </c>
      <c r="C103" s="91">
        <v>45878.0</v>
      </c>
    </row>
    <row r="104" ht="22.5" customHeight="1">
      <c r="A104" s="90" t="s">
        <v>255</v>
      </c>
      <c r="B104" s="90" t="s">
        <v>2</v>
      </c>
      <c r="C104" s="91">
        <v>45878.0</v>
      </c>
    </row>
    <row r="105" ht="22.5" customHeight="1">
      <c r="A105" s="90" t="s">
        <v>497</v>
      </c>
      <c r="B105" s="90" t="s">
        <v>39</v>
      </c>
      <c r="C105" s="91">
        <v>45878.0</v>
      </c>
    </row>
    <row r="106" ht="22.5" customHeight="1">
      <c r="A106" s="90" t="s">
        <v>165</v>
      </c>
      <c r="B106" s="90" t="s">
        <v>9</v>
      </c>
      <c r="C106" s="91">
        <v>45878.0</v>
      </c>
    </row>
    <row r="107" ht="22.5" customHeight="1">
      <c r="A107" s="90" t="s">
        <v>133</v>
      </c>
      <c r="B107" s="90" t="s">
        <v>27</v>
      </c>
      <c r="C107" s="91">
        <v>45878.0</v>
      </c>
    </row>
    <row r="108" ht="22.5" customHeight="1">
      <c r="A108" s="90" t="s">
        <v>499</v>
      </c>
      <c r="B108" s="90" t="s">
        <v>29</v>
      </c>
      <c r="C108" s="91">
        <v>45878.0</v>
      </c>
    </row>
    <row r="109" ht="22.5" customHeight="1">
      <c r="A109" s="90" t="s">
        <v>380</v>
      </c>
      <c r="B109" s="90" t="s">
        <v>69</v>
      </c>
      <c r="C109" s="91">
        <v>45878.0</v>
      </c>
    </row>
    <row r="110" ht="22.5" customHeight="1">
      <c r="A110" s="90" t="s">
        <v>501</v>
      </c>
      <c r="B110" s="90" t="s">
        <v>44</v>
      </c>
      <c r="C110" s="91">
        <v>45878.0</v>
      </c>
    </row>
    <row r="111" ht="22.5" customHeight="1">
      <c r="A111" s="90" t="s">
        <v>303</v>
      </c>
      <c r="B111" s="90" t="s">
        <v>23</v>
      </c>
      <c r="C111" s="91">
        <v>45878.0</v>
      </c>
    </row>
    <row r="112" ht="22.5" customHeight="1">
      <c r="A112" s="90" t="s">
        <v>503</v>
      </c>
      <c r="B112" s="90" t="s">
        <v>69</v>
      </c>
      <c r="C112" s="91">
        <v>45878.0</v>
      </c>
    </row>
    <row r="113" ht="22.5" customHeight="1">
      <c r="A113" s="90" t="s">
        <v>470</v>
      </c>
      <c r="B113" s="90" t="s">
        <v>69</v>
      </c>
      <c r="C113" s="91">
        <v>45878.0</v>
      </c>
    </row>
    <row r="114" ht="22.5" customHeight="1">
      <c r="A114" s="90" t="s">
        <v>443</v>
      </c>
      <c r="B114" s="90" t="s">
        <v>34</v>
      </c>
      <c r="C114" s="91">
        <v>45879.0</v>
      </c>
    </row>
    <row r="115" ht="22.5" customHeight="1">
      <c r="A115" s="90" t="s">
        <v>161</v>
      </c>
      <c r="B115" s="90" t="s">
        <v>32</v>
      </c>
      <c r="C115" s="91">
        <v>45885.0</v>
      </c>
    </row>
    <row r="116" ht="22.5" customHeight="1">
      <c r="A116" s="90" t="s">
        <v>508</v>
      </c>
      <c r="B116" s="90" t="s">
        <v>52</v>
      </c>
      <c r="C116" s="91">
        <v>45885.0</v>
      </c>
    </row>
    <row r="117" ht="22.5" customHeight="1">
      <c r="A117" s="90" t="s">
        <v>101</v>
      </c>
      <c r="B117" s="90" t="s">
        <v>52</v>
      </c>
      <c r="C117" s="91">
        <v>45885.0</v>
      </c>
    </row>
    <row r="118" ht="22.5" customHeight="1">
      <c r="A118" s="90" t="s">
        <v>101</v>
      </c>
      <c r="B118" s="90" t="s">
        <v>122</v>
      </c>
      <c r="C118" s="91">
        <v>45885.0</v>
      </c>
    </row>
    <row r="119" ht="22.5" customHeight="1">
      <c r="A119" s="90" t="s">
        <v>512</v>
      </c>
      <c r="B119" s="90" t="s">
        <v>44</v>
      </c>
      <c r="C119" s="91">
        <v>45885.0</v>
      </c>
    </row>
    <row r="120" ht="22.5" customHeight="1">
      <c r="A120" s="90" t="s">
        <v>207</v>
      </c>
      <c r="B120" s="90" t="s">
        <v>54</v>
      </c>
      <c r="C120" s="91">
        <v>45886.0</v>
      </c>
    </row>
    <row r="121" ht="22.5" customHeight="1">
      <c r="A121" s="90" t="s">
        <v>364</v>
      </c>
      <c r="B121" s="90" t="s">
        <v>46</v>
      </c>
      <c r="C121" s="91">
        <v>45886.0</v>
      </c>
    </row>
    <row r="122" ht="22.5" customHeight="1">
      <c r="A122" s="90" t="s">
        <v>369</v>
      </c>
      <c r="B122" s="90" t="s">
        <v>100</v>
      </c>
      <c r="C122" s="91">
        <v>45886.0</v>
      </c>
    </row>
    <row r="123" ht="22.5" customHeight="1">
      <c r="A123" s="90" t="s">
        <v>290</v>
      </c>
      <c r="B123" s="90" t="s">
        <v>71</v>
      </c>
      <c r="C123" s="91">
        <v>45892.0</v>
      </c>
    </row>
    <row r="124" ht="22.5" customHeight="1">
      <c r="A124" s="90" t="s">
        <v>321</v>
      </c>
      <c r="B124" s="90" t="s">
        <v>2</v>
      </c>
      <c r="C124" s="91">
        <v>45892.0</v>
      </c>
    </row>
    <row r="125" ht="22.5" customHeight="1">
      <c r="A125" s="90" t="s">
        <v>303</v>
      </c>
      <c r="B125" s="90" t="s">
        <v>49</v>
      </c>
      <c r="C125" s="91">
        <v>45899.0</v>
      </c>
    </row>
    <row r="126" ht="22.5" customHeight="1">
      <c r="A126" s="90" t="s">
        <v>190</v>
      </c>
      <c r="B126" s="90" t="s">
        <v>104</v>
      </c>
      <c r="C126" s="91">
        <v>45899.0</v>
      </c>
    </row>
    <row r="127" ht="22.5" customHeight="1">
      <c r="A127" s="90" t="s">
        <v>192</v>
      </c>
      <c r="B127" s="90" t="s">
        <v>51</v>
      </c>
      <c r="C127" s="91">
        <v>45899.0</v>
      </c>
    </row>
    <row r="128" ht="22.5" customHeight="1">
      <c r="A128" s="90" t="s">
        <v>101</v>
      </c>
      <c r="B128" s="90" t="s">
        <v>59</v>
      </c>
      <c r="C128" s="91">
        <v>45899.0</v>
      </c>
    </row>
    <row r="129" ht="22.5" customHeight="1">
      <c r="A129" s="90" t="s">
        <v>129</v>
      </c>
      <c r="B129" s="90" t="s">
        <v>44</v>
      </c>
      <c r="C129" s="91">
        <v>45899.0</v>
      </c>
    </row>
    <row r="130" ht="22.5" customHeight="1">
      <c r="A130" s="90" t="s">
        <v>443</v>
      </c>
      <c r="B130" s="90" t="s">
        <v>6</v>
      </c>
      <c r="C130" s="91">
        <v>45899.0</v>
      </c>
    </row>
    <row r="131" ht="22.5" customHeight="1">
      <c r="A131" s="90" t="s">
        <v>163</v>
      </c>
      <c r="B131" s="90" t="s">
        <v>44</v>
      </c>
      <c r="C131" s="91">
        <v>45899.0</v>
      </c>
    </row>
    <row r="132" ht="22.5" customHeight="1">
      <c r="A132" s="90" t="s">
        <v>326</v>
      </c>
      <c r="B132" s="90" t="s">
        <v>71</v>
      </c>
      <c r="C132" s="91">
        <v>45906.0</v>
      </c>
    </row>
    <row r="133" ht="22.5" customHeight="1">
      <c r="A133" s="90" t="s">
        <v>99</v>
      </c>
      <c r="B133" s="90" t="s">
        <v>59</v>
      </c>
      <c r="C133" s="91">
        <v>45906.0</v>
      </c>
    </row>
    <row r="134" ht="22.5" customHeight="1">
      <c r="A134" s="90" t="s">
        <v>303</v>
      </c>
      <c r="B134" s="90" t="s">
        <v>120</v>
      </c>
      <c r="C134" s="91">
        <v>45906.0</v>
      </c>
    </row>
    <row r="135" ht="22.5" customHeight="1">
      <c r="A135" s="90" t="s">
        <v>303</v>
      </c>
      <c r="B135" s="90" t="s">
        <v>2</v>
      </c>
      <c r="C135" s="91">
        <v>45906.0</v>
      </c>
    </row>
    <row r="136" ht="22.5" customHeight="1">
      <c r="A136" s="90" t="s">
        <v>190</v>
      </c>
      <c r="B136" s="90" t="s">
        <v>27</v>
      </c>
      <c r="C136" s="91">
        <v>45906.0</v>
      </c>
    </row>
    <row r="137" ht="22.5" customHeight="1">
      <c r="A137" s="90" t="s">
        <v>358</v>
      </c>
      <c r="B137" s="90" t="s">
        <v>52</v>
      </c>
      <c r="C137" s="91">
        <v>45913.0</v>
      </c>
    </row>
    <row r="138" ht="22.5" customHeight="1">
      <c r="A138" s="90" t="s">
        <v>275</v>
      </c>
      <c r="B138" s="90" t="s">
        <v>66</v>
      </c>
      <c r="C138" s="91">
        <v>45920.0</v>
      </c>
    </row>
    <row r="139" ht="22.5" customHeight="1">
      <c r="A139" s="90" t="s">
        <v>303</v>
      </c>
      <c r="B139" s="90" t="s">
        <v>51</v>
      </c>
      <c r="C139" s="91">
        <v>45920.0</v>
      </c>
    </row>
    <row r="140" ht="22.5" customHeight="1">
      <c r="A140" s="90" t="s">
        <v>101</v>
      </c>
      <c r="B140" s="90" t="s">
        <v>66</v>
      </c>
      <c r="C140" s="91">
        <v>45920.0</v>
      </c>
    </row>
    <row r="141" ht="22.5" customHeight="1">
      <c r="A141" s="90" t="s">
        <v>525</v>
      </c>
      <c r="B141" s="90" t="s">
        <v>2</v>
      </c>
      <c r="C141" s="91">
        <v>45934.0</v>
      </c>
    </row>
    <row r="142" ht="22.5" customHeight="1">
      <c r="A142" s="90" t="s">
        <v>372</v>
      </c>
      <c r="B142" s="90" t="s">
        <v>52</v>
      </c>
      <c r="C142" s="91">
        <v>45934.0</v>
      </c>
    </row>
    <row r="143" ht="22.5" customHeight="1">
      <c r="A143" s="90" t="s">
        <v>255</v>
      </c>
      <c r="B143" s="90" t="s">
        <v>104</v>
      </c>
      <c r="C143" s="91">
        <v>45934.0</v>
      </c>
    </row>
    <row r="144" ht="22.5" customHeight="1">
      <c r="A144" s="90" t="s">
        <v>98</v>
      </c>
      <c r="B144" s="90" t="s">
        <v>48</v>
      </c>
      <c r="C144" s="91">
        <v>45934.0</v>
      </c>
    </row>
    <row r="145" ht="22.5" customHeight="1">
      <c r="A145" s="90" t="s">
        <v>528</v>
      </c>
      <c r="B145" s="90" t="s">
        <v>61</v>
      </c>
      <c r="C145" s="91">
        <v>45934.0</v>
      </c>
    </row>
  </sheetData>
  <dataValidations>
    <dataValidation type="custom" allowBlank="1" showDropDown="1" sqref="C2:C14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3" max="3" width="18.13"/>
    <col customWidth="1" min="6" max="6" width="18.75"/>
    <col customWidth="1" min="8" max="8" width="26.88"/>
    <col customWidth="1" min="9" max="9" width="37.5"/>
  </cols>
  <sheetData>
    <row r="1" ht="22.5" customHeight="1">
      <c r="A1" s="49" t="s">
        <v>209</v>
      </c>
      <c r="B1" s="49" t="s">
        <v>214</v>
      </c>
      <c r="C1" s="49" t="s">
        <v>550</v>
      </c>
      <c r="D1" s="49" t="s">
        <v>215</v>
      </c>
    </row>
    <row r="2" ht="22.5" customHeight="1">
      <c r="A2" s="50" t="s">
        <v>282</v>
      </c>
      <c r="B2" s="50" t="s">
        <v>51</v>
      </c>
      <c r="C2" s="102"/>
      <c r="D2" s="52">
        <v>45773.0</v>
      </c>
      <c r="F2" s="53" t="s">
        <v>225</v>
      </c>
      <c r="G2" s="53" t="s">
        <v>226</v>
      </c>
      <c r="H2" s="53" t="s">
        <v>227</v>
      </c>
      <c r="I2" s="53" t="s">
        <v>553</v>
      </c>
    </row>
    <row r="3" ht="22.5" customHeight="1">
      <c r="A3" s="50" t="s">
        <v>556</v>
      </c>
      <c r="B3" s="50" t="s">
        <v>557</v>
      </c>
      <c r="C3" s="102"/>
      <c r="D3" s="52">
        <v>45773.0</v>
      </c>
      <c r="F3" s="53" t="s">
        <v>240</v>
      </c>
      <c r="G3" s="1" t="s">
        <v>2</v>
      </c>
      <c r="H3" s="56" t="str">
        <f>IFERROR(__xludf.DUMMYFUNCTION("FILTER(A2:A994 &amp; "" - "" &amp; TEXT(D2:D994, ""dd-mm-yyyy""), B2:B994=G3, C2:C994=""Yes"")
"),"Lifegiving Gem - 14-06-2025")</f>
        <v>Lifegiving Gem - 14-06-2025</v>
      </c>
      <c r="I3" s="56" t="str">
        <f>IFERROR(__xludf.DUMMYFUNCTION("FILTER(A2:A994 &amp; "" - "" &amp; TEXT(D2:D994, ""dd-mm-yyyy""), B2:B994=G3, C2:C994&lt;&gt;""Yes"")
"),"Hederine Shackles - 24-05-2025")</f>
        <v>Hederine Shackles - 24-05-2025</v>
      </c>
    </row>
    <row r="4" ht="22.5" customHeight="1">
      <c r="A4" s="50" t="s">
        <v>308</v>
      </c>
      <c r="B4" s="50" t="s">
        <v>559</v>
      </c>
      <c r="C4" s="102"/>
      <c r="D4" s="52">
        <v>45773.0</v>
      </c>
      <c r="H4" s="56" t="str">
        <f>IFERROR(__xludf.DUMMYFUNCTION("""COMPUTED_VALUE"""),"Doom's Edge - 14-06-2025")</f>
        <v>Doom's Edge - 14-06-2025</v>
      </c>
      <c r="I4" s="56" t="str">
        <f>IFERROR(__xludf.DUMMYFUNCTION("""COMPUTED_VALUE"""),"Shard of the Fallen Star - 07-06-2025")</f>
        <v>Shard of the Fallen Star - 07-06-2025</v>
      </c>
    </row>
    <row r="5" ht="22.5" customHeight="1">
      <c r="A5" s="50" t="s">
        <v>560</v>
      </c>
      <c r="B5" s="50" t="s">
        <v>54</v>
      </c>
      <c r="C5" s="102"/>
      <c r="D5" s="52">
        <v>45773.0</v>
      </c>
      <c r="H5" s="56" t="str">
        <f>IFERROR(__xludf.DUMMYFUNCTION("""COMPUTED_VALUE"""),"Gloves of Delusional Power - 29-06-2025")</f>
        <v>Gloves of Delusional Power - 29-06-2025</v>
      </c>
      <c r="I5" s="56" t="str">
        <f>IFERROR(__xludf.DUMMYFUNCTION("""COMPUTED_VALUE"""),"Mendicant's Slippers - 07-06-2025")</f>
        <v>Mendicant's Slippers - 07-06-2025</v>
      </c>
    </row>
    <row r="6" ht="22.5" customHeight="1">
      <c r="A6" s="50" t="s">
        <v>369</v>
      </c>
      <c r="B6" s="50" t="s">
        <v>120</v>
      </c>
      <c r="C6" s="102"/>
      <c r="D6" s="52">
        <v>45773.0</v>
      </c>
      <c r="I6" s="56" t="str">
        <f>IFERROR(__xludf.DUMMYFUNCTION("""COMPUTED_VALUE"""),"Mantle of the Blackwing Cabal - 05-07-2025")</f>
        <v>Mantle of the Blackwing Cabal - 05-07-2025</v>
      </c>
    </row>
    <row r="7" ht="22.5" customHeight="1">
      <c r="A7" s="50" t="s">
        <v>563</v>
      </c>
      <c r="B7" s="50" t="s">
        <v>467</v>
      </c>
      <c r="C7" s="102"/>
      <c r="D7" s="52">
        <v>45773.0</v>
      </c>
    </row>
    <row r="8" ht="22.5" customHeight="1">
      <c r="A8" s="50" t="s">
        <v>165</v>
      </c>
      <c r="B8" s="50" t="s">
        <v>54</v>
      </c>
      <c r="C8" s="102"/>
      <c r="D8" s="52">
        <v>45773.0</v>
      </c>
    </row>
    <row r="9" ht="22.5" customHeight="1">
      <c r="A9" s="50" t="s">
        <v>565</v>
      </c>
      <c r="B9" s="50" t="s">
        <v>566</v>
      </c>
      <c r="C9" s="102"/>
      <c r="D9" s="52">
        <v>45773.0</v>
      </c>
    </row>
    <row r="10" ht="22.5" customHeight="1">
      <c r="A10" s="50" t="s">
        <v>508</v>
      </c>
      <c r="B10" s="50" t="s">
        <v>557</v>
      </c>
      <c r="C10" s="102"/>
      <c r="D10" s="52">
        <v>45773.0</v>
      </c>
    </row>
    <row r="11" ht="22.5" customHeight="1">
      <c r="A11" s="50" t="s">
        <v>508</v>
      </c>
      <c r="B11" s="50" t="s">
        <v>506</v>
      </c>
      <c r="C11" s="102"/>
      <c r="D11" s="52">
        <v>45773.0</v>
      </c>
    </row>
    <row r="12" ht="22.5" customHeight="1">
      <c r="A12" s="50" t="s">
        <v>570</v>
      </c>
      <c r="B12" s="50" t="s">
        <v>97</v>
      </c>
      <c r="C12" s="102"/>
      <c r="D12" s="52">
        <v>45773.0</v>
      </c>
    </row>
    <row r="13" ht="22.5" customHeight="1">
      <c r="A13" s="50" t="s">
        <v>260</v>
      </c>
      <c r="B13" s="50" t="s">
        <v>120</v>
      </c>
      <c r="C13" s="102"/>
      <c r="D13" s="52">
        <v>45773.0</v>
      </c>
    </row>
    <row r="14" ht="22.5" customHeight="1">
      <c r="A14" s="50" t="s">
        <v>573</v>
      </c>
      <c r="B14" s="50" t="s">
        <v>97</v>
      </c>
      <c r="C14" s="102"/>
      <c r="D14" s="52">
        <v>45773.0</v>
      </c>
    </row>
    <row r="15" ht="22.5" customHeight="1">
      <c r="A15" s="50" t="s">
        <v>345</v>
      </c>
      <c r="B15" s="50" t="s">
        <v>575</v>
      </c>
      <c r="C15" s="102"/>
      <c r="D15" s="52">
        <v>45773.0</v>
      </c>
    </row>
    <row r="16" ht="22.5" customHeight="1">
      <c r="A16" s="50" t="s">
        <v>260</v>
      </c>
      <c r="B16" s="50" t="s">
        <v>575</v>
      </c>
      <c r="C16" s="102"/>
      <c r="D16" s="52">
        <v>45773.0</v>
      </c>
    </row>
    <row r="17" ht="22.5" customHeight="1">
      <c r="A17" s="50" t="s">
        <v>432</v>
      </c>
      <c r="B17" s="50" t="s">
        <v>71</v>
      </c>
      <c r="C17" s="102"/>
      <c r="D17" s="52">
        <v>45773.0</v>
      </c>
    </row>
    <row r="18" ht="22.5" customHeight="1">
      <c r="A18" s="50" t="s">
        <v>220</v>
      </c>
      <c r="B18" s="50" t="s">
        <v>75</v>
      </c>
      <c r="C18" s="102" t="s">
        <v>577</v>
      </c>
      <c r="D18" s="52">
        <v>45773.0</v>
      </c>
    </row>
    <row r="19" ht="22.5" customHeight="1">
      <c r="A19" s="50" t="s">
        <v>201</v>
      </c>
      <c r="B19" s="50" t="s">
        <v>61</v>
      </c>
      <c r="C19" s="102" t="s">
        <v>577</v>
      </c>
      <c r="D19" s="52">
        <v>45773.0</v>
      </c>
    </row>
    <row r="20" ht="22.5" customHeight="1">
      <c r="A20" s="50" t="s">
        <v>255</v>
      </c>
      <c r="B20" s="50" t="s">
        <v>34</v>
      </c>
      <c r="C20" s="102" t="s">
        <v>577</v>
      </c>
      <c r="D20" s="52">
        <v>45773.0</v>
      </c>
    </row>
    <row r="21" ht="22.5" customHeight="1">
      <c r="A21" s="50" t="s">
        <v>260</v>
      </c>
      <c r="B21" s="58" t="s">
        <v>54</v>
      </c>
      <c r="C21" s="102" t="s">
        <v>577</v>
      </c>
      <c r="D21" s="52">
        <v>45773.0</v>
      </c>
    </row>
    <row r="22" ht="22.5" customHeight="1">
      <c r="A22" s="50" t="s">
        <v>165</v>
      </c>
      <c r="B22" s="50" t="s">
        <v>95</v>
      </c>
      <c r="C22" s="102" t="s">
        <v>577</v>
      </c>
      <c r="D22" s="52">
        <v>45780.0</v>
      </c>
    </row>
    <row r="23" ht="22.5" customHeight="1">
      <c r="A23" s="50" t="s">
        <v>579</v>
      </c>
      <c r="B23" s="50" t="s">
        <v>557</v>
      </c>
      <c r="C23" s="102"/>
      <c r="D23" s="52">
        <v>45780.0</v>
      </c>
    </row>
    <row r="24" ht="22.5" customHeight="1">
      <c r="A24" s="50" t="s">
        <v>102</v>
      </c>
      <c r="B24" s="50" t="s">
        <v>120</v>
      </c>
      <c r="C24" s="102"/>
      <c r="D24" s="52">
        <v>45780.0</v>
      </c>
    </row>
    <row r="25" ht="22.5" customHeight="1">
      <c r="A25" s="50" t="s">
        <v>508</v>
      </c>
      <c r="B25" s="50" t="s">
        <v>557</v>
      </c>
      <c r="C25" s="102"/>
      <c r="D25" s="52">
        <v>45780.0</v>
      </c>
    </row>
    <row r="26" ht="22.5" customHeight="1">
      <c r="A26" s="50" t="s">
        <v>272</v>
      </c>
      <c r="B26" s="50" t="s">
        <v>557</v>
      </c>
      <c r="C26" s="102"/>
      <c r="D26" s="52">
        <v>45780.0</v>
      </c>
    </row>
    <row r="27" ht="22.5" customHeight="1">
      <c r="A27" s="50" t="s">
        <v>321</v>
      </c>
      <c r="B27" s="50" t="s">
        <v>582</v>
      </c>
      <c r="C27" s="102"/>
      <c r="D27" s="52">
        <v>45780.0</v>
      </c>
    </row>
    <row r="28" ht="22.5" customHeight="1">
      <c r="A28" s="50" t="s">
        <v>255</v>
      </c>
      <c r="B28" s="50" t="s">
        <v>70</v>
      </c>
      <c r="C28" s="102"/>
      <c r="D28" s="52">
        <v>45780.0</v>
      </c>
    </row>
    <row r="29" ht="22.5" customHeight="1">
      <c r="A29" s="50" t="s">
        <v>260</v>
      </c>
      <c r="B29" s="50" t="s">
        <v>52</v>
      </c>
      <c r="C29" s="102"/>
      <c r="D29" s="52">
        <v>45780.0</v>
      </c>
    </row>
    <row r="30" ht="22.5" customHeight="1">
      <c r="A30" s="50" t="s">
        <v>274</v>
      </c>
      <c r="B30" s="50" t="s">
        <v>557</v>
      </c>
      <c r="C30" s="102"/>
      <c r="D30" s="52">
        <v>45780.0</v>
      </c>
    </row>
    <row r="31" ht="22.5" customHeight="1">
      <c r="A31" s="50" t="s">
        <v>260</v>
      </c>
      <c r="B31" s="50" t="s">
        <v>582</v>
      </c>
      <c r="C31" s="102"/>
      <c r="D31" s="52">
        <v>45780.0</v>
      </c>
    </row>
    <row r="32" ht="22.5" customHeight="1">
      <c r="A32" s="50" t="s">
        <v>584</v>
      </c>
      <c r="B32" s="50" t="s">
        <v>111</v>
      </c>
      <c r="C32" s="102"/>
      <c r="D32" s="52">
        <v>45780.0</v>
      </c>
    </row>
    <row r="33" ht="22.5" customHeight="1">
      <c r="A33" s="50" t="s">
        <v>320</v>
      </c>
      <c r="B33" s="50" t="s">
        <v>80</v>
      </c>
      <c r="C33" s="102"/>
      <c r="D33" s="52">
        <v>45780.0</v>
      </c>
    </row>
    <row r="34" ht="22.5" customHeight="1">
      <c r="A34" s="50" t="s">
        <v>508</v>
      </c>
      <c r="B34" s="50" t="s">
        <v>75</v>
      </c>
      <c r="C34" s="102"/>
      <c r="D34" s="52">
        <v>45780.0</v>
      </c>
    </row>
    <row r="35" ht="22.5" customHeight="1">
      <c r="A35" s="50" t="s">
        <v>326</v>
      </c>
      <c r="B35" s="50" t="s">
        <v>590</v>
      </c>
      <c r="C35" s="102"/>
      <c r="D35" s="52">
        <v>45780.0</v>
      </c>
    </row>
    <row r="36" ht="22.5" customHeight="1">
      <c r="A36" s="50" t="s">
        <v>255</v>
      </c>
      <c r="B36" s="50" t="s">
        <v>80</v>
      </c>
      <c r="C36" s="102"/>
      <c r="D36" s="52">
        <v>45780.0</v>
      </c>
    </row>
    <row r="37" ht="22.5" customHeight="1">
      <c r="A37" s="50" t="s">
        <v>272</v>
      </c>
      <c r="B37" s="50" t="s">
        <v>111</v>
      </c>
      <c r="C37" s="102"/>
      <c r="D37" s="52">
        <v>45780.0</v>
      </c>
    </row>
    <row r="38" ht="22.5" customHeight="1">
      <c r="A38" s="50" t="s">
        <v>272</v>
      </c>
      <c r="B38" s="50" t="s">
        <v>75</v>
      </c>
      <c r="C38" s="102" t="s">
        <v>577</v>
      </c>
      <c r="D38" s="52">
        <v>45780.0</v>
      </c>
    </row>
    <row r="39" ht="22.5" customHeight="1">
      <c r="A39" s="50" t="s">
        <v>274</v>
      </c>
      <c r="B39" s="50" t="s">
        <v>75</v>
      </c>
      <c r="C39" s="102" t="s">
        <v>577</v>
      </c>
      <c r="D39" s="52">
        <v>45780.0</v>
      </c>
    </row>
    <row r="40" ht="22.5" customHeight="1">
      <c r="A40" s="50" t="s">
        <v>278</v>
      </c>
      <c r="B40" s="50" t="s">
        <v>93</v>
      </c>
      <c r="C40" s="102" t="s">
        <v>577</v>
      </c>
      <c r="D40" s="52">
        <v>45780.0</v>
      </c>
    </row>
    <row r="41" ht="22.5" customHeight="1">
      <c r="A41" s="50" t="s">
        <v>224</v>
      </c>
      <c r="B41" s="50" t="s">
        <v>67</v>
      </c>
      <c r="C41" s="102" t="s">
        <v>577</v>
      </c>
      <c r="D41" s="52">
        <v>45780.0</v>
      </c>
    </row>
    <row r="42" ht="22.5" customHeight="1">
      <c r="A42" s="50" t="s">
        <v>287</v>
      </c>
      <c r="B42" s="50" t="s">
        <v>59</v>
      </c>
      <c r="C42" s="102" t="s">
        <v>577</v>
      </c>
      <c r="D42" s="52">
        <v>45780.0</v>
      </c>
    </row>
    <row r="43" ht="22.5" customHeight="1">
      <c r="A43" s="50" t="s">
        <v>129</v>
      </c>
      <c r="B43" s="50" t="s">
        <v>95</v>
      </c>
      <c r="C43" s="102" t="s">
        <v>577</v>
      </c>
      <c r="D43" s="52">
        <v>45787.0</v>
      </c>
    </row>
    <row r="44" ht="22.5" customHeight="1">
      <c r="A44" s="50" t="s">
        <v>293</v>
      </c>
      <c r="B44" s="58" t="s">
        <v>80</v>
      </c>
      <c r="C44" s="102" t="s">
        <v>577</v>
      </c>
      <c r="D44" s="52">
        <v>45787.0</v>
      </c>
    </row>
    <row r="45" ht="22.5" customHeight="1">
      <c r="A45" s="50" t="s">
        <v>299</v>
      </c>
      <c r="B45" s="58" t="s">
        <v>80</v>
      </c>
      <c r="C45" s="102" t="s">
        <v>577</v>
      </c>
      <c r="D45" s="52">
        <v>45787.0</v>
      </c>
    </row>
    <row r="46" ht="22.5" customHeight="1">
      <c r="A46" s="50" t="s">
        <v>303</v>
      </c>
      <c r="B46" s="50" t="s">
        <v>49</v>
      </c>
      <c r="C46" s="102" t="s">
        <v>577</v>
      </c>
      <c r="D46" s="52">
        <v>45787.0</v>
      </c>
    </row>
    <row r="47" ht="22.5" customHeight="1">
      <c r="A47" s="50" t="s">
        <v>563</v>
      </c>
      <c r="B47" s="50" t="s">
        <v>95</v>
      </c>
      <c r="C47" s="102"/>
      <c r="D47" s="52">
        <v>45787.0</v>
      </c>
    </row>
    <row r="48" ht="22.5" customHeight="1">
      <c r="A48" s="50" t="s">
        <v>275</v>
      </c>
      <c r="B48" s="50" t="s">
        <v>120</v>
      </c>
      <c r="C48" s="102"/>
      <c r="D48" s="52">
        <v>45787.0</v>
      </c>
    </row>
    <row r="49" ht="22.5" customHeight="1">
      <c r="A49" s="50" t="s">
        <v>596</v>
      </c>
      <c r="B49" s="50" t="s">
        <v>29</v>
      </c>
      <c r="C49" s="102"/>
      <c r="D49" s="52">
        <v>45787.0</v>
      </c>
    </row>
    <row r="50" ht="22.5" customHeight="1">
      <c r="A50" s="50" t="s">
        <v>597</v>
      </c>
      <c r="B50" s="50" t="s">
        <v>18</v>
      </c>
      <c r="C50" s="102"/>
      <c r="D50" s="52">
        <v>45787.0</v>
      </c>
    </row>
    <row r="51" ht="22.5" customHeight="1">
      <c r="A51" s="50" t="s">
        <v>598</v>
      </c>
      <c r="B51" s="50" t="s">
        <v>599</v>
      </c>
      <c r="C51" s="102"/>
      <c r="D51" s="52">
        <v>45787.0</v>
      </c>
    </row>
    <row r="52" ht="22.5" customHeight="1">
      <c r="A52" s="50" t="s">
        <v>306</v>
      </c>
      <c r="B52" s="50" t="s">
        <v>29</v>
      </c>
      <c r="C52" s="102" t="s">
        <v>577</v>
      </c>
      <c r="D52" s="52">
        <v>45787.0</v>
      </c>
    </row>
    <row r="53" ht="22.5" customHeight="1">
      <c r="A53" s="50" t="s">
        <v>101</v>
      </c>
      <c r="B53" s="50" t="s">
        <v>26</v>
      </c>
      <c r="C53" s="102" t="s">
        <v>577</v>
      </c>
      <c r="D53" s="52">
        <v>45787.0</v>
      </c>
    </row>
    <row r="54" ht="22.5" customHeight="1">
      <c r="A54" s="50" t="s">
        <v>101</v>
      </c>
      <c r="B54" s="50" t="s">
        <v>52</v>
      </c>
      <c r="C54" s="102" t="s">
        <v>577</v>
      </c>
      <c r="D54" s="52">
        <v>45787.0</v>
      </c>
    </row>
    <row r="55" ht="22.5" customHeight="1">
      <c r="A55" s="50" t="s">
        <v>275</v>
      </c>
      <c r="B55" s="58" t="s">
        <v>77</v>
      </c>
      <c r="C55" s="102" t="s">
        <v>577</v>
      </c>
      <c r="D55" s="52">
        <v>45794.0</v>
      </c>
    </row>
    <row r="56" ht="22.5" customHeight="1">
      <c r="A56" s="50" t="s">
        <v>320</v>
      </c>
      <c r="B56" s="50" t="s">
        <v>80</v>
      </c>
      <c r="C56" s="102" t="s">
        <v>577</v>
      </c>
      <c r="D56" s="52">
        <v>45794.0</v>
      </c>
    </row>
    <row r="57" ht="22.5" customHeight="1">
      <c r="A57" s="50" t="s">
        <v>176</v>
      </c>
      <c r="B57" s="50" t="s">
        <v>75</v>
      </c>
      <c r="C57" s="102" t="s">
        <v>577</v>
      </c>
      <c r="D57" s="52">
        <v>45794.0</v>
      </c>
    </row>
    <row r="58" ht="22.5" customHeight="1">
      <c r="A58" s="50" t="s">
        <v>272</v>
      </c>
      <c r="B58" s="50" t="s">
        <v>600</v>
      </c>
      <c r="C58" s="102"/>
      <c r="D58" s="52">
        <v>45794.0</v>
      </c>
    </row>
    <row r="59" ht="22.5" customHeight="1">
      <c r="A59" s="50" t="s">
        <v>601</v>
      </c>
      <c r="B59" s="50" t="s">
        <v>59</v>
      </c>
      <c r="C59" s="102"/>
      <c r="D59" s="52">
        <v>45794.0</v>
      </c>
    </row>
    <row r="60" ht="22.5" customHeight="1">
      <c r="A60" s="50" t="s">
        <v>508</v>
      </c>
      <c r="B60" s="50" t="s">
        <v>37</v>
      </c>
      <c r="C60" s="102"/>
      <c r="D60" s="52">
        <v>45794.0</v>
      </c>
    </row>
    <row r="61" ht="22.5" customHeight="1">
      <c r="A61" s="50" t="s">
        <v>602</v>
      </c>
      <c r="B61" s="50" t="s">
        <v>485</v>
      </c>
      <c r="C61" s="102"/>
      <c r="D61" s="52">
        <v>45794.0</v>
      </c>
    </row>
    <row r="62" ht="22.5" customHeight="1">
      <c r="A62" s="50" t="s">
        <v>255</v>
      </c>
      <c r="B62" s="50" t="s">
        <v>510</v>
      </c>
      <c r="C62" s="102"/>
      <c r="D62" s="52">
        <v>45794.0</v>
      </c>
    </row>
    <row r="63" ht="22.5" customHeight="1">
      <c r="A63" s="50" t="s">
        <v>272</v>
      </c>
      <c r="B63" s="50" t="s">
        <v>37</v>
      </c>
      <c r="C63" s="102"/>
      <c r="D63" s="52">
        <v>45794.0</v>
      </c>
    </row>
    <row r="64" ht="22.5" customHeight="1">
      <c r="A64" s="50" t="s">
        <v>321</v>
      </c>
      <c r="B64" s="50" t="s">
        <v>49</v>
      </c>
      <c r="C64" s="102"/>
      <c r="D64" s="52">
        <v>45794.0</v>
      </c>
    </row>
    <row r="65" ht="22.5" customHeight="1">
      <c r="A65" s="50" t="s">
        <v>602</v>
      </c>
      <c r="B65" s="50" t="s">
        <v>557</v>
      </c>
      <c r="C65" s="102"/>
      <c r="D65" s="52">
        <v>45794.0</v>
      </c>
    </row>
    <row r="66" ht="22.5" customHeight="1">
      <c r="A66" s="50" t="s">
        <v>274</v>
      </c>
      <c r="B66" s="50" t="s">
        <v>37</v>
      </c>
      <c r="C66" s="102"/>
      <c r="D66" s="52">
        <v>45794.0</v>
      </c>
    </row>
    <row r="67" ht="22.5" customHeight="1">
      <c r="A67" s="50" t="s">
        <v>603</v>
      </c>
      <c r="B67" s="50" t="s">
        <v>32</v>
      </c>
      <c r="C67" s="102"/>
      <c r="D67" s="52">
        <v>45794.0</v>
      </c>
    </row>
    <row r="68" ht="22.5" customHeight="1">
      <c r="A68" s="50" t="s">
        <v>573</v>
      </c>
      <c r="B68" s="50" t="s">
        <v>84</v>
      </c>
      <c r="C68" s="102"/>
      <c r="D68" s="52">
        <v>45794.0</v>
      </c>
    </row>
    <row r="69" ht="22.5" customHeight="1">
      <c r="A69" s="50" t="s">
        <v>260</v>
      </c>
      <c r="B69" s="50" t="s">
        <v>32</v>
      </c>
      <c r="C69" s="102"/>
      <c r="D69" s="52">
        <v>45794.0</v>
      </c>
    </row>
    <row r="70" ht="22.5" customHeight="1">
      <c r="A70" s="50" t="s">
        <v>469</v>
      </c>
      <c r="B70" s="50" t="s">
        <v>485</v>
      </c>
      <c r="C70" s="102"/>
      <c r="D70" s="52">
        <v>45794.0</v>
      </c>
    </row>
    <row r="71" ht="22.5" customHeight="1">
      <c r="A71" s="50" t="s">
        <v>604</v>
      </c>
      <c r="B71" s="50" t="s">
        <v>485</v>
      </c>
      <c r="C71" s="102"/>
      <c r="D71" s="52">
        <v>45794.0</v>
      </c>
    </row>
    <row r="72" ht="22.5" customHeight="1">
      <c r="A72" s="50" t="s">
        <v>102</v>
      </c>
      <c r="B72" s="50" t="s">
        <v>3</v>
      </c>
      <c r="C72" s="102"/>
      <c r="D72" s="52">
        <v>45794.0</v>
      </c>
    </row>
    <row r="73" ht="22.5" customHeight="1">
      <c r="A73" s="50" t="s">
        <v>297</v>
      </c>
      <c r="B73" s="50" t="s">
        <v>3</v>
      </c>
      <c r="C73" s="102"/>
      <c r="D73" s="52">
        <v>45794.0</v>
      </c>
    </row>
    <row r="74" ht="22.5" customHeight="1">
      <c r="A74" s="50" t="s">
        <v>274</v>
      </c>
      <c r="B74" s="50" t="s">
        <v>37</v>
      </c>
      <c r="C74" s="102"/>
      <c r="D74" s="52">
        <v>45794.0</v>
      </c>
    </row>
    <row r="75" ht="22.5" customHeight="1">
      <c r="A75" s="50" t="s">
        <v>508</v>
      </c>
      <c r="B75" s="50" t="s">
        <v>37</v>
      </c>
      <c r="C75" s="102"/>
      <c r="D75" s="52">
        <v>45794.0</v>
      </c>
    </row>
    <row r="76" ht="22.5" customHeight="1">
      <c r="A76" s="50" t="s">
        <v>255</v>
      </c>
      <c r="B76" s="50" t="s">
        <v>66</v>
      </c>
      <c r="C76" s="102"/>
      <c r="D76" s="52">
        <v>45794.0</v>
      </c>
    </row>
    <row r="77" ht="22.5" customHeight="1">
      <c r="A77" s="50" t="s">
        <v>605</v>
      </c>
      <c r="B77" s="50" t="s">
        <v>104</v>
      </c>
      <c r="C77" s="102"/>
      <c r="D77" s="52">
        <v>45794.0</v>
      </c>
    </row>
    <row r="78" ht="22.5" customHeight="1">
      <c r="A78" s="50" t="s">
        <v>184</v>
      </c>
      <c r="B78" s="50" t="s">
        <v>51</v>
      </c>
      <c r="C78" s="102"/>
      <c r="D78" s="52">
        <v>45794.0</v>
      </c>
    </row>
    <row r="79" ht="22.5" customHeight="1">
      <c r="A79" s="50" t="s">
        <v>596</v>
      </c>
      <c r="B79" s="50" t="s">
        <v>67</v>
      </c>
      <c r="C79" s="102"/>
      <c r="D79" s="52">
        <v>45794.0</v>
      </c>
    </row>
    <row r="80" ht="22.5" customHeight="1">
      <c r="A80" s="50" t="s">
        <v>329</v>
      </c>
      <c r="B80" s="50" t="s">
        <v>67</v>
      </c>
      <c r="C80" s="102" t="s">
        <v>577</v>
      </c>
      <c r="D80" s="52">
        <v>45794.0</v>
      </c>
    </row>
    <row r="81" ht="22.5" customHeight="1">
      <c r="A81" s="50" t="s">
        <v>332</v>
      </c>
      <c r="B81" s="50" t="s">
        <v>67</v>
      </c>
      <c r="C81" s="102" t="s">
        <v>577</v>
      </c>
      <c r="D81" s="52">
        <v>45794.0</v>
      </c>
    </row>
    <row r="82" ht="22.5" customHeight="1">
      <c r="A82" s="50" t="s">
        <v>303</v>
      </c>
      <c r="B82" s="50" t="s">
        <v>66</v>
      </c>
      <c r="C82" s="102" t="s">
        <v>577</v>
      </c>
      <c r="D82" s="52">
        <v>45794.0</v>
      </c>
    </row>
    <row r="83" ht="22.5" customHeight="1">
      <c r="A83" s="50" t="s">
        <v>272</v>
      </c>
      <c r="B83" s="58" t="s">
        <v>69</v>
      </c>
      <c r="C83" s="102" t="s">
        <v>577</v>
      </c>
      <c r="D83" s="52">
        <v>45794.0</v>
      </c>
    </row>
    <row r="84" ht="22.5" customHeight="1">
      <c r="A84" s="50" t="s">
        <v>102</v>
      </c>
      <c r="B84" s="58" t="s">
        <v>52</v>
      </c>
      <c r="C84" s="102" t="s">
        <v>577</v>
      </c>
      <c r="D84" s="52">
        <v>45794.0</v>
      </c>
    </row>
    <row r="85" ht="22.5" customHeight="1">
      <c r="A85" s="50" t="s">
        <v>343</v>
      </c>
      <c r="B85" s="58" t="s">
        <v>75</v>
      </c>
      <c r="C85" s="102" t="s">
        <v>577</v>
      </c>
      <c r="D85" s="52">
        <v>45801.0</v>
      </c>
    </row>
    <row r="86" ht="22.5" customHeight="1">
      <c r="A86" s="50" t="s">
        <v>443</v>
      </c>
      <c r="B86" s="50" t="s">
        <v>84</v>
      </c>
      <c r="C86" s="102" t="s">
        <v>606</v>
      </c>
      <c r="D86" s="52">
        <v>45801.0</v>
      </c>
    </row>
    <row r="87" ht="22.5" customHeight="1">
      <c r="A87" s="50" t="s">
        <v>607</v>
      </c>
      <c r="B87" s="50" t="s">
        <v>32</v>
      </c>
      <c r="C87" s="102"/>
      <c r="D87" s="52">
        <v>45801.0</v>
      </c>
    </row>
    <row r="88" ht="22.5" customHeight="1">
      <c r="A88" s="50" t="s">
        <v>608</v>
      </c>
      <c r="B88" s="50" t="s">
        <v>32</v>
      </c>
      <c r="C88" s="102"/>
      <c r="D88" s="52">
        <v>45801.0</v>
      </c>
    </row>
    <row r="89" ht="22.5" customHeight="1">
      <c r="A89" s="50" t="s">
        <v>609</v>
      </c>
      <c r="B89" s="50" t="s">
        <v>610</v>
      </c>
      <c r="C89" s="102"/>
      <c r="D89" s="52">
        <v>45801.0</v>
      </c>
    </row>
    <row r="90" ht="22.5" customHeight="1">
      <c r="A90" s="50" t="s">
        <v>470</v>
      </c>
      <c r="B90" s="50" t="s">
        <v>37</v>
      </c>
      <c r="C90" s="102"/>
      <c r="D90" s="52">
        <v>45801.0</v>
      </c>
    </row>
    <row r="91" ht="22.5" customHeight="1">
      <c r="A91" s="50" t="s">
        <v>611</v>
      </c>
      <c r="B91" s="50" t="s">
        <v>3</v>
      </c>
      <c r="C91" s="102"/>
      <c r="D91" s="52">
        <v>45801.0</v>
      </c>
    </row>
    <row r="92" ht="22.5" customHeight="1">
      <c r="A92" s="50" t="s">
        <v>612</v>
      </c>
      <c r="B92" s="50" t="s">
        <v>79</v>
      </c>
      <c r="C92" s="102"/>
      <c r="D92" s="52">
        <v>45801.0</v>
      </c>
    </row>
    <row r="93" ht="22.5" customHeight="1">
      <c r="A93" s="50" t="s">
        <v>613</v>
      </c>
      <c r="B93" s="50" t="s">
        <v>32</v>
      </c>
      <c r="C93" s="102"/>
      <c r="D93" s="52">
        <v>45801.0</v>
      </c>
    </row>
    <row r="94" ht="22.5" customHeight="1">
      <c r="A94" s="50" t="s">
        <v>426</v>
      </c>
      <c r="B94" s="50" t="s">
        <v>557</v>
      </c>
      <c r="C94" s="102"/>
      <c r="D94" s="52">
        <v>45801.0</v>
      </c>
    </row>
    <row r="95" ht="22.5" customHeight="1">
      <c r="A95" s="50" t="s">
        <v>242</v>
      </c>
      <c r="B95" s="50" t="s">
        <v>66</v>
      </c>
      <c r="C95" s="102"/>
      <c r="D95" s="52">
        <v>45801.0</v>
      </c>
    </row>
    <row r="96" ht="22.5" customHeight="1">
      <c r="A96" s="50" t="s">
        <v>404</v>
      </c>
      <c r="B96" s="50" t="s">
        <v>29</v>
      </c>
      <c r="C96" s="102"/>
      <c r="D96" s="52">
        <v>45801.0</v>
      </c>
    </row>
    <row r="97" ht="22.5" customHeight="1">
      <c r="A97" s="50" t="s">
        <v>207</v>
      </c>
      <c r="B97" s="50" t="s">
        <v>120</v>
      </c>
      <c r="C97" s="102"/>
      <c r="D97" s="52">
        <v>45801.0</v>
      </c>
    </row>
    <row r="98" ht="22.5" customHeight="1">
      <c r="A98" s="50" t="s">
        <v>218</v>
      </c>
      <c r="B98" s="50" t="s">
        <v>15</v>
      </c>
      <c r="C98" s="102"/>
      <c r="D98" s="52">
        <v>45801.0</v>
      </c>
    </row>
    <row r="99" ht="22.5" customHeight="1">
      <c r="A99" s="50" t="s">
        <v>614</v>
      </c>
      <c r="B99" s="50" t="s">
        <v>610</v>
      </c>
      <c r="C99" s="102"/>
      <c r="D99" s="52">
        <v>45801.0</v>
      </c>
    </row>
    <row r="100" ht="22.5" customHeight="1">
      <c r="A100" s="50" t="s">
        <v>615</v>
      </c>
      <c r="B100" s="50" t="s">
        <v>180</v>
      </c>
      <c r="C100" s="102"/>
      <c r="D100" s="52">
        <v>45801.0</v>
      </c>
    </row>
    <row r="101" ht="22.5" customHeight="1">
      <c r="A101" s="50" t="s">
        <v>230</v>
      </c>
      <c r="B101" s="50" t="s">
        <v>2</v>
      </c>
      <c r="C101" s="102"/>
      <c r="D101" s="52">
        <v>45801.0</v>
      </c>
    </row>
    <row r="102" ht="22.5" customHeight="1">
      <c r="A102" s="50" t="s">
        <v>302</v>
      </c>
      <c r="B102" s="50" t="s">
        <v>557</v>
      </c>
      <c r="C102" s="102"/>
      <c r="D102" s="52">
        <v>45801.0</v>
      </c>
    </row>
    <row r="103" ht="22.5" customHeight="1">
      <c r="A103" s="50" t="s">
        <v>347</v>
      </c>
      <c r="B103" s="50" t="s">
        <v>29</v>
      </c>
      <c r="C103" s="102" t="s">
        <v>577</v>
      </c>
      <c r="D103" s="52">
        <v>45801.0</v>
      </c>
    </row>
    <row r="104" ht="22.5" customHeight="1">
      <c r="A104" s="50" t="s">
        <v>192</v>
      </c>
      <c r="B104" s="50" t="s">
        <v>66</v>
      </c>
      <c r="C104" s="102" t="s">
        <v>577</v>
      </c>
      <c r="D104" s="52">
        <v>45801.0</v>
      </c>
    </row>
    <row r="105" ht="22.5" customHeight="1">
      <c r="A105" s="50" t="s">
        <v>237</v>
      </c>
      <c r="B105" s="50" t="s">
        <v>84</v>
      </c>
      <c r="C105" s="102" t="s">
        <v>577</v>
      </c>
      <c r="D105" s="52">
        <v>45801.0</v>
      </c>
    </row>
    <row r="106" ht="22.5" customHeight="1">
      <c r="A106" s="50" t="s">
        <v>356</v>
      </c>
      <c r="B106" s="50" t="s">
        <v>68</v>
      </c>
      <c r="C106" s="102" t="s">
        <v>577</v>
      </c>
      <c r="D106" s="52">
        <v>45808.0</v>
      </c>
    </row>
    <row r="107" ht="22.5" customHeight="1">
      <c r="A107" s="50" t="s">
        <v>165</v>
      </c>
      <c r="B107" s="50" t="s">
        <v>48</v>
      </c>
      <c r="C107" s="102" t="s">
        <v>577</v>
      </c>
      <c r="D107" s="52">
        <v>45808.0</v>
      </c>
    </row>
    <row r="108" ht="22.5" customHeight="1">
      <c r="A108" s="50" t="s">
        <v>619</v>
      </c>
      <c r="B108" s="50" t="s">
        <v>66</v>
      </c>
      <c r="C108" s="102"/>
      <c r="D108" s="52">
        <v>45808.0</v>
      </c>
    </row>
    <row r="109" ht="22.5" customHeight="1">
      <c r="A109" s="50" t="s">
        <v>621</v>
      </c>
      <c r="B109" s="50" t="s">
        <v>6</v>
      </c>
      <c r="C109" s="102"/>
      <c r="D109" s="52">
        <v>45808.0</v>
      </c>
    </row>
    <row r="110" ht="22.5" customHeight="1">
      <c r="A110" s="50" t="s">
        <v>255</v>
      </c>
      <c r="B110" s="50" t="s">
        <v>51</v>
      </c>
      <c r="C110" s="102"/>
      <c r="D110" s="52">
        <v>45808.0</v>
      </c>
    </row>
    <row r="111" ht="22.5" customHeight="1">
      <c r="A111" s="50" t="s">
        <v>272</v>
      </c>
      <c r="B111" s="50" t="s">
        <v>485</v>
      </c>
      <c r="C111" s="102"/>
      <c r="D111" s="52">
        <v>45808.0</v>
      </c>
    </row>
    <row r="112" ht="22.5" customHeight="1">
      <c r="A112" s="50" t="s">
        <v>626</v>
      </c>
      <c r="B112" s="50" t="s">
        <v>61</v>
      </c>
      <c r="C112" s="102"/>
      <c r="D112" s="52">
        <v>45808.0</v>
      </c>
    </row>
    <row r="113" ht="22.5" customHeight="1">
      <c r="A113" s="50" t="s">
        <v>628</v>
      </c>
      <c r="B113" s="50" t="s">
        <v>3</v>
      </c>
      <c r="C113" s="102"/>
      <c r="D113" s="52">
        <v>45808.0</v>
      </c>
    </row>
    <row r="114" ht="22.5" customHeight="1">
      <c r="A114" s="50" t="s">
        <v>272</v>
      </c>
      <c r="B114" s="50" t="s">
        <v>67</v>
      </c>
      <c r="C114" s="102"/>
      <c r="D114" s="52">
        <v>45808.0</v>
      </c>
    </row>
    <row r="115" ht="22.5" customHeight="1">
      <c r="A115" s="50" t="s">
        <v>205</v>
      </c>
      <c r="B115" s="50" t="s">
        <v>582</v>
      </c>
      <c r="C115" s="102"/>
      <c r="D115" s="52">
        <v>45808.0</v>
      </c>
    </row>
    <row r="116" ht="22.5" customHeight="1">
      <c r="A116" s="50" t="s">
        <v>632</v>
      </c>
      <c r="B116" s="50" t="s">
        <v>86</v>
      </c>
      <c r="C116" s="102"/>
      <c r="D116" s="52">
        <v>45808.0</v>
      </c>
    </row>
    <row r="117" ht="22.5" customHeight="1">
      <c r="A117" s="50" t="s">
        <v>633</v>
      </c>
      <c r="B117" s="50" t="s">
        <v>90</v>
      </c>
      <c r="C117" s="102"/>
      <c r="D117" s="52">
        <v>45808.0</v>
      </c>
    </row>
    <row r="118" ht="22.5" customHeight="1">
      <c r="A118" s="50" t="s">
        <v>508</v>
      </c>
      <c r="B118" s="50" t="s">
        <v>557</v>
      </c>
      <c r="C118" s="102"/>
      <c r="D118" s="52">
        <v>45808.0</v>
      </c>
    </row>
    <row r="119" ht="22.5" customHeight="1">
      <c r="A119" s="50" t="s">
        <v>634</v>
      </c>
      <c r="B119" s="50" t="s">
        <v>67</v>
      </c>
      <c r="C119" s="102"/>
      <c r="D119" s="52">
        <v>45808.0</v>
      </c>
    </row>
    <row r="120" ht="22.5" customHeight="1">
      <c r="A120" s="50" t="s">
        <v>102</v>
      </c>
      <c r="B120" s="50" t="s">
        <v>3</v>
      </c>
      <c r="C120" s="102"/>
      <c r="D120" s="52">
        <v>45808.0</v>
      </c>
    </row>
    <row r="121" ht="22.5" customHeight="1">
      <c r="A121" s="50" t="s">
        <v>102</v>
      </c>
      <c r="B121" s="50" t="s">
        <v>582</v>
      </c>
      <c r="C121" s="102"/>
      <c r="D121" s="52">
        <v>45808.0</v>
      </c>
    </row>
    <row r="122" ht="22.5" customHeight="1">
      <c r="A122" s="50" t="s">
        <v>635</v>
      </c>
      <c r="B122" s="50" t="s">
        <v>84</v>
      </c>
      <c r="C122" s="102"/>
      <c r="D122" s="52">
        <v>45808.0</v>
      </c>
    </row>
    <row r="123" ht="22.5" customHeight="1">
      <c r="A123" s="50" t="s">
        <v>636</v>
      </c>
      <c r="B123" s="50" t="s">
        <v>2</v>
      </c>
      <c r="C123" s="102"/>
      <c r="D123" s="52">
        <v>45815.0</v>
      </c>
    </row>
    <row r="124" ht="22.5" customHeight="1">
      <c r="A124" s="50" t="s">
        <v>637</v>
      </c>
      <c r="B124" s="50" t="s">
        <v>120</v>
      </c>
      <c r="C124" s="102"/>
      <c r="D124" s="52">
        <v>45815.0</v>
      </c>
    </row>
    <row r="125" ht="22.5" customHeight="1">
      <c r="A125" s="50" t="s">
        <v>179</v>
      </c>
      <c r="B125" s="50" t="s">
        <v>120</v>
      </c>
      <c r="C125" s="102"/>
      <c r="D125" s="52">
        <v>45815.0</v>
      </c>
    </row>
    <row r="126" ht="22.5" customHeight="1">
      <c r="A126" s="50" t="s">
        <v>211</v>
      </c>
      <c r="B126" s="50" t="s">
        <v>51</v>
      </c>
      <c r="C126" s="102"/>
      <c r="D126" s="52">
        <v>45815.0</v>
      </c>
    </row>
    <row r="127" ht="22.5" customHeight="1">
      <c r="A127" s="50" t="s">
        <v>383</v>
      </c>
      <c r="B127" s="50" t="s">
        <v>37</v>
      </c>
      <c r="C127" s="102"/>
      <c r="D127" s="52">
        <v>45815.0</v>
      </c>
    </row>
    <row r="128" ht="22.5" customHeight="1">
      <c r="A128" s="50" t="s">
        <v>642</v>
      </c>
      <c r="B128" s="50" t="s">
        <v>46</v>
      </c>
      <c r="C128" s="102"/>
      <c r="D128" s="52">
        <v>45815.0</v>
      </c>
    </row>
    <row r="129" ht="22.5" customHeight="1">
      <c r="A129" s="50" t="s">
        <v>648</v>
      </c>
      <c r="B129" s="50" t="s">
        <v>2</v>
      </c>
      <c r="C129" s="102"/>
      <c r="D129" s="52">
        <v>45815.0</v>
      </c>
    </row>
    <row r="130" ht="22.5" customHeight="1">
      <c r="A130" s="50" t="s">
        <v>302</v>
      </c>
      <c r="B130" s="50" t="s">
        <v>656</v>
      </c>
      <c r="C130" s="102"/>
      <c r="D130" s="52">
        <v>45815.0</v>
      </c>
    </row>
    <row r="131" ht="22.5" customHeight="1">
      <c r="A131" s="50" t="s">
        <v>666</v>
      </c>
      <c r="B131" s="50" t="s">
        <v>582</v>
      </c>
      <c r="C131" s="102"/>
      <c r="D131" s="52">
        <v>45815.0</v>
      </c>
    </row>
    <row r="132" ht="22.5" customHeight="1">
      <c r="A132" s="50" t="s">
        <v>677</v>
      </c>
      <c r="B132" s="50" t="s">
        <v>20</v>
      </c>
      <c r="C132" s="102"/>
      <c r="D132" s="52">
        <v>45815.0</v>
      </c>
    </row>
    <row r="133" ht="22.5" customHeight="1">
      <c r="A133" s="50" t="s">
        <v>687</v>
      </c>
      <c r="B133" s="50" t="s">
        <v>3</v>
      </c>
      <c r="C133" s="102"/>
      <c r="D133" s="52">
        <v>45815.0</v>
      </c>
    </row>
    <row r="134" ht="22.5" customHeight="1">
      <c r="A134" s="50" t="s">
        <v>358</v>
      </c>
      <c r="B134" s="50" t="s">
        <v>6</v>
      </c>
      <c r="C134" s="102" t="s">
        <v>577</v>
      </c>
      <c r="D134" s="52">
        <v>45815.0</v>
      </c>
    </row>
    <row r="135" ht="22.5" customHeight="1">
      <c r="A135" s="50" t="s">
        <v>362</v>
      </c>
      <c r="B135" s="58" t="s">
        <v>2</v>
      </c>
      <c r="C135" s="102" t="s">
        <v>577</v>
      </c>
      <c r="D135" s="52">
        <v>45822.0</v>
      </c>
    </row>
    <row r="136" ht="22.5" customHeight="1">
      <c r="A136" s="50" t="s">
        <v>365</v>
      </c>
      <c r="B136" s="58" t="s">
        <v>2</v>
      </c>
      <c r="C136" s="102" t="s">
        <v>577</v>
      </c>
      <c r="D136" s="52">
        <v>45822.0</v>
      </c>
    </row>
    <row r="137" ht="22.5" customHeight="1">
      <c r="A137" s="50" t="s">
        <v>368</v>
      </c>
      <c r="B137" s="50" t="s">
        <v>93</v>
      </c>
      <c r="C137" s="102" t="s">
        <v>577</v>
      </c>
      <c r="D137" s="52">
        <v>45822.0</v>
      </c>
    </row>
    <row r="138" ht="22.5" customHeight="1">
      <c r="A138" s="50" t="s">
        <v>721</v>
      </c>
      <c r="B138" s="50" t="s">
        <v>722</v>
      </c>
      <c r="C138" s="102"/>
      <c r="D138" s="52">
        <v>45822.0</v>
      </c>
    </row>
    <row r="139" ht="22.5" customHeight="1">
      <c r="A139" s="50" t="s">
        <v>165</v>
      </c>
      <c r="B139" s="50" t="s">
        <v>3</v>
      </c>
      <c r="C139" s="102"/>
      <c r="D139" s="52">
        <v>45822.0</v>
      </c>
    </row>
    <row r="140" ht="22.5" customHeight="1">
      <c r="A140" s="50" t="s">
        <v>272</v>
      </c>
      <c r="B140" s="50" t="s">
        <v>656</v>
      </c>
      <c r="C140" s="102"/>
      <c r="D140" s="52">
        <v>45822.0</v>
      </c>
    </row>
    <row r="141" ht="22.5" customHeight="1">
      <c r="A141" s="50" t="s">
        <v>165</v>
      </c>
      <c r="B141" s="50" t="s">
        <v>729</v>
      </c>
      <c r="C141" s="102"/>
      <c r="D141" s="52">
        <v>45822.0</v>
      </c>
    </row>
    <row r="142" ht="22.5" customHeight="1">
      <c r="A142" s="50" t="s">
        <v>255</v>
      </c>
      <c r="B142" s="50" t="s">
        <v>722</v>
      </c>
      <c r="C142" s="102"/>
      <c r="D142" s="52">
        <v>45822.0</v>
      </c>
    </row>
    <row r="143" ht="22.5" customHeight="1">
      <c r="A143" s="50" t="s">
        <v>732</v>
      </c>
      <c r="B143" s="50" t="s">
        <v>6</v>
      </c>
      <c r="C143" s="102"/>
      <c r="D143" s="52">
        <v>45822.0</v>
      </c>
    </row>
    <row r="144" ht="22.5" customHeight="1">
      <c r="A144" s="50" t="s">
        <v>320</v>
      </c>
      <c r="B144" s="50" t="s">
        <v>51</v>
      </c>
      <c r="C144" s="102"/>
      <c r="D144" s="52">
        <v>45822.0</v>
      </c>
    </row>
    <row r="145" ht="22.5" customHeight="1">
      <c r="A145" s="50" t="s">
        <v>508</v>
      </c>
      <c r="B145" s="50" t="s">
        <v>656</v>
      </c>
      <c r="C145" s="102"/>
      <c r="D145" s="52">
        <v>45822.0</v>
      </c>
    </row>
    <row r="146" ht="22.5" customHeight="1">
      <c r="A146" s="50" t="s">
        <v>736</v>
      </c>
      <c r="B146" s="50" t="s">
        <v>729</v>
      </c>
      <c r="C146" s="102"/>
      <c r="D146" s="52">
        <v>45822.0</v>
      </c>
    </row>
    <row r="147" ht="22.5" customHeight="1">
      <c r="A147" s="50" t="s">
        <v>736</v>
      </c>
      <c r="B147" s="50" t="s">
        <v>88</v>
      </c>
      <c r="C147" s="102"/>
      <c r="D147" s="52">
        <v>45822.0</v>
      </c>
    </row>
    <row r="148" ht="22.5" customHeight="1">
      <c r="A148" s="50" t="s">
        <v>508</v>
      </c>
      <c r="B148" s="50" t="s">
        <v>88</v>
      </c>
      <c r="C148" s="102"/>
      <c r="D148" s="52">
        <v>45822.0</v>
      </c>
    </row>
    <row r="149" ht="22.5" customHeight="1">
      <c r="A149" s="50" t="s">
        <v>320</v>
      </c>
      <c r="B149" s="50" t="s">
        <v>51</v>
      </c>
      <c r="C149" s="102"/>
      <c r="D149" s="52">
        <v>45822.0</v>
      </c>
    </row>
    <row r="150" ht="22.5" customHeight="1">
      <c r="A150" s="50" t="s">
        <v>635</v>
      </c>
      <c r="B150" s="50" t="s">
        <v>3</v>
      </c>
      <c r="C150" s="102"/>
      <c r="D150" s="52">
        <v>45822.0</v>
      </c>
    </row>
    <row r="151" ht="22.5" customHeight="1">
      <c r="A151" s="50" t="s">
        <v>558</v>
      </c>
      <c r="B151" s="50" t="s">
        <v>656</v>
      </c>
      <c r="C151" s="102"/>
      <c r="D151" s="52">
        <v>45822.0</v>
      </c>
    </row>
    <row r="152" ht="22.5" customHeight="1">
      <c r="A152" s="50" t="s">
        <v>372</v>
      </c>
      <c r="B152" s="50" t="s">
        <v>39</v>
      </c>
      <c r="C152" s="102" t="s">
        <v>577</v>
      </c>
      <c r="D152" s="52">
        <v>45822.0</v>
      </c>
    </row>
    <row r="153" ht="22.5" customHeight="1">
      <c r="A153" s="50" t="s">
        <v>376</v>
      </c>
      <c r="B153" s="50" t="s">
        <v>39</v>
      </c>
      <c r="C153" s="102" t="s">
        <v>577</v>
      </c>
      <c r="D153" s="52">
        <v>45822.0</v>
      </c>
    </row>
    <row r="154" ht="22.5" customHeight="1">
      <c r="A154" s="50" t="s">
        <v>96</v>
      </c>
      <c r="B154" s="50" t="s">
        <v>47</v>
      </c>
      <c r="C154" s="102" t="s">
        <v>577</v>
      </c>
      <c r="D154" s="52">
        <v>45822.0</v>
      </c>
    </row>
    <row r="155" ht="22.5" customHeight="1">
      <c r="A155" s="50" t="s">
        <v>133</v>
      </c>
      <c r="B155" s="50" t="s">
        <v>26</v>
      </c>
      <c r="C155" s="102" t="s">
        <v>577</v>
      </c>
      <c r="D155" s="52">
        <v>45822.0</v>
      </c>
    </row>
    <row r="156" ht="22.5" customHeight="1">
      <c r="A156" s="50" t="s">
        <v>244</v>
      </c>
      <c r="B156" s="50" t="s">
        <v>29</v>
      </c>
      <c r="C156" s="102" t="s">
        <v>577</v>
      </c>
      <c r="D156" s="52">
        <v>45829.0</v>
      </c>
    </row>
    <row r="157" ht="22.5" customHeight="1">
      <c r="A157" s="50" t="s">
        <v>260</v>
      </c>
      <c r="B157" s="50" t="s">
        <v>9</v>
      </c>
      <c r="C157" s="102"/>
      <c r="D157" s="52">
        <v>45829.0</v>
      </c>
    </row>
    <row r="158" ht="22.5" customHeight="1">
      <c r="A158" s="50" t="s">
        <v>592</v>
      </c>
      <c r="B158" s="50" t="s">
        <v>94</v>
      </c>
      <c r="C158" s="102"/>
      <c r="D158" s="52">
        <v>45829.0</v>
      </c>
    </row>
    <row r="159" ht="22.5" customHeight="1">
      <c r="A159" s="50" t="s">
        <v>101</v>
      </c>
      <c r="B159" s="50" t="s">
        <v>48</v>
      </c>
      <c r="C159" s="102" t="s">
        <v>577</v>
      </c>
      <c r="D159" s="52">
        <v>45836.0</v>
      </c>
    </row>
    <row r="160" ht="22.5" customHeight="1">
      <c r="A160" s="50" t="s">
        <v>149</v>
      </c>
      <c r="B160" s="50" t="s">
        <v>32</v>
      </c>
      <c r="C160" s="102" t="s">
        <v>577</v>
      </c>
      <c r="D160" s="52">
        <v>45836.0</v>
      </c>
    </row>
    <row r="161" ht="22.5" customHeight="1">
      <c r="A161" s="50" t="s">
        <v>281</v>
      </c>
      <c r="B161" s="50" t="s">
        <v>29</v>
      </c>
      <c r="C161" s="102" t="s">
        <v>577</v>
      </c>
      <c r="D161" s="52">
        <v>45836.0</v>
      </c>
    </row>
    <row r="162" ht="22.5" customHeight="1">
      <c r="A162" s="50" t="s">
        <v>102</v>
      </c>
      <c r="B162" s="58" t="s">
        <v>104</v>
      </c>
      <c r="C162" s="102" t="s">
        <v>577</v>
      </c>
      <c r="D162" s="52">
        <v>45836.0</v>
      </c>
    </row>
    <row r="163" ht="22.5" customHeight="1">
      <c r="A163" s="50" t="s">
        <v>303</v>
      </c>
      <c r="B163" s="50" t="s">
        <v>47</v>
      </c>
      <c r="C163" s="102" t="s">
        <v>577</v>
      </c>
      <c r="D163" s="52">
        <v>45836.0</v>
      </c>
    </row>
    <row r="164" ht="22.5" customHeight="1">
      <c r="A164" s="50" t="s">
        <v>607</v>
      </c>
      <c r="B164" s="50" t="s">
        <v>485</v>
      </c>
      <c r="C164" s="102"/>
      <c r="D164" s="52">
        <v>45836.0</v>
      </c>
    </row>
    <row r="165" ht="22.5" customHeight="1">
      <c r="A165" s="50" t="s">
        <v>165</v>
      </c>
      <c r="B165" s="50" t="s">
        <v>32</v>
      </c>
      <c r="C165" s="102"/>
      <c r="D165" s="52">
        <v>45836.0</v>
      </c>
    </row>
    <row r="166" ht="22.5" customHeight="1">
      <c r="A166" s="50" t="s">
        <v>255</v>
      </c>
      <c r="B166" s="50" t="s">
        <v>180</v>
      </c>
      <c r="C166" s="102"/>
      <c r="D166" s="52">
        <v>45836.0</v>
      </c>
    </row>
    <row r="167" ht="22.5" customHeight="1">
      <c r="A167" s="50" t="s">
        <v>508</v>
      </c>
      <c r="B167" s="50" t="s">
        <v>485</v>
      </c>
      <c r="C167" s="102"/>
      <c r="D167" s="52">
        <v>45836.0</v>
      </c>
    </row>
    <row r="168" ht="22.5" customHeight="1">
      <c r="A168" s="50" t="s">
        <v>570</v>
      </c>
      <c r="B168" s="50" t="s">
        <v>120</v>
      </c>
      <c r="C168" s="102"/>
      <c r="D168" s="52">
        <v>45836.0</v>
      </c>
    </row>
    <row r="169" ht="22.5" customHeight="1">
      <c r="A169" s="50" t="s">
        <v>607</v>
      </c>
      <c r="B169" s="50" t="s">
        <v>741</v>
      </c>
      <c r="C169" s="102"/>
      <c r="D169" s="52">
        <v>45836.0</v>
      </c>
    </row>
    <row r="170" ht="22.5" customHeight="1">
      <c r="A170" s="50" t="s">
        <v>296</v>
      </c>
      <c r="B170" s="50" t="s">
        <v>125</v>
      </c>
      <c r="C170" s="102"/>
      <c r="D170" s="52">
        <v>45836.0</v>
      </c>
    </row>
    <row r="171" ht="22.5" customHeight="1">
      <c r="A171" s="50" t="s">
        <v>260</v>
      </c>
      <c r="B171" s="50" t="s">
        <v>743</v>
      </c>
      <c r="C171" s="102"/>
      <c r="D171" s="52">
        <v>45836.0</v>
      </c>
    </row>
    <row r="172" ht="22.5" customHeight="1">
      <c r="A172" s="50" t="s">
        <v>573</v>
      </c>
      <c r="B172" s="50" t="s">
        <v>180</v>
      </c>
      <c r="C172" s="102"/>
      <c r="D172" s="52">
        <v>45836.0</v>
      </c>
    </row>
    <row r="173" ht="22.5" customHeight="1">
      <c r="A173" s="50" t="s">
        <v>584</v>
      </c>
      <c r="B173" s="50" t="s">
        <v>37</v>
      </c>
      <c r="C173" s="102"/>
      <c r="D173" s="52">
        <v>45836.0</v>
      </c>
    </row>
    <row r="174" ht="22.5" customHeight="1">
      <c r="A174" s="50" t="s">
        <v>272</v>
      </c>
      <c r="B174" s="50" t="s">
        <v>132</v>
      </c>
      <c r="C174" s="102"/>
      <c r="D174" s="52">
        <v>45836.0</v>
      </c>
    </row>
    <row r="175" ht="22.5" customHeight="1">
      <c r="A175" s="50" t="s">
        <v>255</v>
      </c>
      <c r="B175" s="50" t="s">
        <v>84</v>
      </c>
      <c r="C175" s="102"/>
      <c r="D175" s="52">
        <v>45836.0</v>
      </c>
    </row>
    <row r="176" ht="22.5" customHeight="1">
      <c r="A176" s="50" t="s">
        <v>573</v>
      </c>
      <c r="B176" s="50" t="s">
        <v>746</v>
      </c>
      <c r="C176" s="102"/>
      <c r="D176" s="52">
        <v>45836.0</v>
      </c>
    </row>
    <row r="177" ht="22.5" customHeight="1">
      <c r="A177" s="50" t="s">
        <v>274</v>
      </c>
      <c r="B177" s="50" t="s">
        <v>132</v>
      </c>
      <c r="C177" s="102"/>
      <c r="D177" s="52">
        <v>45836.0</v>
      </c>
    </row>
    <row r="178" ht="22.5" customHeight="1">
      <c r="A178" s="50" t="s">
        <v>149</v>
      </c>
      <c r="B178" s="50" t="s">
        <v>7</v>
      </c>
      <c r="C178" s="102"/>
      <c r="D178" s="52">
        <v>45836.0</v>
      </c>
    </row>
    <row r="179" ht="22.5" customHeight="1">
      <c r="A179" s="50" t="s">
        <v>102</v>
      </c>
      <c r="B179" s="50" t="s">
        <v>125</v>
      </c>
      <c r="C179" s="102"/>
      <c r="D179" s="52">
        <v>45836.0</v>
      </c>
    </row>
    <row r="180" ht="22.5" customHeight="1">
      <c r="A180" s="50" t="s">
        <v>508</v>
      </c>
      <c r="B180" s="50" t="s">
        <v>40</v>
      </c>
      <c r="C180" s="102"/>
      <c r="D180" s="52">
        <v>45836.0</v>
      </c>
    </row>
    <row r="181" ht="22.5" customHeight="1">
      <c r="A181" s="50" t="s">
        <v>464</v>
      </c>
      <c r="B181" s="50" t="s">
        <v>89</v>
      </c>
      <c r="C181" s="102"/>
      <c r="D181" s="52">
        <v>45836.0</v>
      </c>
    </row>
    <row r="182" ht="22.5" customHeight="1">
      <c r="A182" s="50" t="s">
        <v>360</v>
      </c>
      <c r="B182" s="50" t="s">
        <v>741</v>
      </c>
      <c r="C182" s="102"/>
      <c r="D182" s="52">
        <v>45836.0</v>
      </c>
    </row>
    <row r="183" ht="22.5" customHeight="1">
      <c r="A183" s="50" t="s">
        <v>748</v>
      </c>
      <c r="B183" s="50" t="s">
        <v>69</v>
      </c>
      <c r="C183" s="102"/>
      <c r="D183" s="52">
        <v>45836.0</v>
      </c>
    </row>
    <row r="184" ht="22.5" customHeight="1">
      <c r="A184" s="50" t="s">
        <v>165</v>
      </c>
      <c r="B184" s="50" t="s">
        <v>743</v>
      </c>
      <c r="C184" s="102"/>
      <c r="D184" s="52">
        <v>45836.0</v>
      </c>
    </row>
    <row r="185" ht="22.5" customHeight="1">
      <c r="A185" s="50" t="s">
        <v>750</v>
      </c>
      <c r="B185" s="50" t="s">
        <v>40</v>
      </c>
      <c r="C185" s="102"/>
      <c r="D185" s="52">
        <v>45836.0</v>
      </c>
    </row>
    <row r="186" ht="22.5" customHeight="1">
      <c r="A186" s="50" t="s">
        <v>751</v>
      </c>
      <c r="B186" s="50" t="s">
        <v>5</v>
      </c>
      <c r="C186" s="102"/>
      <c r="D186" s="52">
        <v>45836.0</v>
      </c>
    </row>
    <row r="187" ht="22.5" customHeight="1">
      <c r="A187" s="50" t="s">
        <v>754</v>
      </c>
      <c r="B187" s="50" t="s">
        <v>567</v>
      </c>
      <c r="C187" s="102"/>
      <c r="D187" s="52">
        <v>45836.0</v>
      </c>
    </row>
    <row r="188" ht="22.5" customHeight="1">
      <c r="A188" s="50" t="s">
        <v>512</v>
      </c>
      <c r="B188" s="50" t="s">
        <v>743</v>
      </c>
      <c r="C188" s="102"/>
      <c r="D188" s="52">
        <v>45836.0</v>
      </c>
    </row>
    <row r="189" ht="22.5" customHeight="1">
      <c r="A189" s="50" t="s">
        <v>755</v>
      </c>
      <c r="B189" s="50" t="s">
        <v>180</v>
      </c>
      <c r="C189" s="102"/>
      <c r="D189" s="52">
        <v>45836.0</v>
      </c>
    </row>
    <row r="190" ht="22.5" customHeight="1">
      <c r="A190" s="50" t="s">
        <v>320</v>
      </c>
      <c r="B190" s="50" t="s">
        <v>84</v>
      </c>
      <c r="C190" s="102" t="s">
        <v>577</v>
      </c>
      <c r="D190" s="52">
        <v>45836.0</v>
      </c>
    </row>
    <row r="191" ht="22.5" customHeight="1">
      <c r="A191" s="50" t="s">
        <v>192</v>
      </c>
      <c r="B191" s="58" t="s">
        <v>52</v>
      </c>
      <c r="C191" s="102" t="s">
        <v>577</v>
      </c>
      <c r="D191" s="52">
        <v>45836.0</v>
      </c>
    </row>
    <row r="192" ht="22.5" customHeight="1">
      <c r="A192" s="50" t="s">
        <v>85</v>
      </c>
      <c r="B192" s="50" t="s">
        <v>49</v>
      </c>
      <c r="C192" s="102" t="s">
        <v>577</v>
      </c>
      <c r="D192" s="52">
        <v>45837.0</v>
      </c>
    </row>
    <row r="193" ht="22.5" customHeight="1">
      <c r="A193" s="50" t="s">
        <v>237</v>
      </c>
      <c r="B193" s="50" t="s">
        <v>89</v>
      </c>
      <c r="C193" s="102" t="s">
        <v>577</v>
      </c>
      <c r="D193" s="52">
        <v>45837.0</v>
      </c>
    </row>
    <row r="194" ht="22.5" customHeight="1">
      <c r="A194" s="50" t="s">
        <v>364</v>
      </c>
      <c r="B194" s="50" t="s">
        <v>61</v>
      </c>
      <c r="C194" s="102" t="s">
        <v>577</v>
      </c>
      <c r="D194" s="52">
        <v>45837.0</v>
      </c>
    </row>
    <row r="195" ht="22.5" customHeight="1">
      <c r="A195" s="50" t="s">
        <v>134</v>
      </c>
      <c r="B195" s="50" t="s">
        <v>61</v>
      </c>
      <c r="C195" s="102" t="s">
        <v>577</v>
      </c>
      <c r="D195" s="52">
        <v>45837.0</v>
      </c>
    </row>
    <row r="196" ht="22.5" customHeight="1">
      <c r="A196" s="50" t="s">
        <v>402</v>
      </c>
      <c r="B196" s="50" t="s">
        <v>2</v>
      </c>
      <c r="C196" s="102" t="s">
        <v>577</v>
      </c>
      <c r="D196" s="52">
        <v>45837.0</v>
      </c>
    </row>
    <row r="197" ht="22.5" customHeight="1">
      <c r="A197" s="50" t="s">
        <v>282</v>
      </c>
      <c r="B197" s="50" t="s">
        <v>68</v>
      </c>
      <c r="C197" s="102"/>
      <c r="D197" s="52">
        <v>45837.0</v>
      </c>
    </row>
    <row r="198" ht="22.5" customHeight="1">
      <c r="A198" s="50" t="s">
        <v>431</v>
      </c>
      <c r="B198" s="50" t="s">
        <v>758</v>
      </c>
      <c r="C198" s="102"/>
      <c r="D198" s="52">
        <v>45837.0</v>
      </c>
    </row>
    <row r="199" ht="22.5" customHeight="1">
      <c r="A199" s="50" t="s">
        <v>759</v>
      </c>
      <c r="B199" s="50" t="s">
        <v>51</v>
      </c>
      <c r="C199" s="102"/>
      <c r="D199" s="52">
        <v>45837.0</v>
      </c>
    </row>
    <row r="200" ht="22.5" customHeight="1">
      <c r="A200" s="50" t="s">
        <v>760</v>
      </c>
      <c r="B200" s="50" t="s">
        <v>68</v>
      </c>
      <c r="C200" s="102"/>
      <c r="D200" s="52">
        <v>45837.0</v>
      </c>
    </row>
    <row r="201" ht="22.5" customHeight="1">
      <c r="A201" s="50" t="s">
        <v>761</v>
      </c>
      <c r="B201" s="50" t="s">
        <v>132</v>
      </c>
      <c r="C201" s="102"/>
      <c r="D201" s="52">
        <v>45837.0</v>
      </c>
    </row>
    <row r="202" ht="22.5" customHeight="1">
      <c r="A202" s="50" t="s">
        <v>763</v>
      </c>
      <c r="B202" s="50" t="s">
        <v>32</v>
      </c>
      <c r="C202" s="102"/>
      <c r="D202" s="52">
        <v>45837.0</v>
      </c>
    </row>
    <row r="203" ht="22.5" customHeight="1">
      <c r="A203" s="50" t="s">
        <v>145</v>
      </c>
      <c r="B203" s="50" t="s">
        <v>14</v>
      </c>
      <c r="C203" s="102"/>
      <c r="D203" s="52">
        <v>45837.0</v>
      </c>
    </row>
    <row r="204" ht="22.5" customHeight="1">
      <c r="A204" s="50" t="s">
        <v>764</v>
      </c>
      <c r="B204" s="50" t="s">
        <v>6</v>
      </c>
      <c r="C204" s="102"/>
      <c r="D204" s="52">
        <v>45837.0</v>
      </c>
    </row>
    <row r="205" ht="22.5" customHeight="1">
      <c r="A205" s="50" t="s">
        <v>765</v>
      </c>
      <c r="B205" s="50" t="s">
        <v>132</v>
      </c>
      <c r="C205" s="102"/>
      <c r="D205" s="52">
        <v>45837.0</v>
      </c>
    </row>
    <row r="206" ht="22.5" customHeight="1">
      <c r="A206" s="50" t="s">
        <v>666</v>
      </c>
      <c r="B206" s="50" t="s">
        <v>51</v>
      </c>
      <c r="C206" s="102"/>
      <c r="D206" s="52">
        <v>45837.0</v>
      </c>
    </row>
    <row r="207" ht="22.5" customHeight="1">
      <c r="A207" s="50" t="s">
        <v>426</v>
      </c>
      <c r="B207" s="50" t="s">
        <v>119</v>
      </c>
      <c r="C207" s="102"/>
      <c r="D207" s="52">
        <v>45837.0</v>
      </c>
    </row>
    <row r="208" ht="22.5" customHeight="1">
      <c r="A208" s="50" t="s">
        <v>767</v>
      </c>
      <c r="B208" s="50" t="s">
        <v>6</v>
      </c>
      <c r="C208" s="102"/>
      <c r="D208" s="52">
        <v>45837.0</v>
      </c>
    </row>
    <row r="209" ht="22.5" customHeight="1">
      <c r="A209" s="50" t="s">
        <v>404</v>
      </c>
      <c r="B209" s="50" t="s">
        <v>56</v>
      </c>
      <c r="C209" s="102"/>
      <c r="D209" s="52">
        <v>45837.0</v>
      </c>
    </row>
    <row r="210" ht="22.5" customHeight="1">
      <c r="A210" s="50" t="s">
        <v>768</v>
      </c>
      <c r="B210" s="50" t="s">
        <v>84</v>
      </c>
      <c r="C210" s="102"/>
      <c r="D210" s="52">
        <v>45837.0</v>
      </c>
    </row>
    <row r="211" ht="22.5" customHeight="1">
      <c r="A211" s="50" t="s">
        <v>343</v>
      </c>
      <c r="B211" s="50" t="s">
        <v>769</v>
      </c>
      <c r="C211" s="102"/>
      <c r="D211" s="52">
        <v>45837.0</v>
      </c>
    </row>
    <row r="212" ht="22.5" customHeight="1">
      <c r="A212" s="50" t="s">
        <v>443</v>
      </c>
      <c r="B212" s="50" t="s">
        <v>180</v>
      </c>
      <c r="C212" s="102"/>
      <c r="D212" s="52">
        <v>45837.0</v>
      </c>
    </row>
    <row r="213" ht="22.5" customHeight="1">
      <c r="A213" s="50" t="s">
        <v>770</v>
      </c>
      <c r="B213" s="50" t="s">
        <v>67</v>
      </c>
      <c r="C213" s="102"/>
      <c r="D213" s="52">
        <v>45837.0</v>
      </c>
    </row>
    <row r="214" ht="22.5" customHeight="1">
      <c r="A214" s="50" t="s">
        <v>269</v>
      </c>
      <c r="B214" s="50" t="s">
        <v>49</v>
      </c>
      <c r="C214" s="102" t="s">
        <v>577</v>
      </c>
      <c r="D214" s="52">
        <v>45843.0</v>
      </c>
    </row>
    <row r="215" ht="22.5" customHeight="1">
      <c r="A215" s="50" t="s">
        <v>412</v>
      </c>
      <c r="B215" s="50" t="s">
        <v>91</v>
      </c>
      <c r="C215" s="102" t="s">
        <v>577</v>
      </c>
      <c r="D215" s="52">
        <v>45843.0</v>
      </c>
    </row>
    <row r="216" ht="22.5" customHeight="1">
      <c r="A216" s="50" t="s">
        <v>771</v>
      </c>
      <c r="B216" s="50" t="s">
        <v>582</v>
      </c>
      <c r="C216" s="102"/>
      <c r="D216" s="52">
        <v>45843.0</v>
      </c>
    </row>
    <row r="217" ht="22.5" customHeight="1">
      <c r="A217" s="50" t="s">
        <v>772</v>
      </c>
      <c r="B217" s="50" t="s">
        <v>2</v>
      </c>
      <c r="C217" s="102"/>
      <c r="D217" s="52">
        <v>45843.0</v>
      </c>
    </row>
    <row r="218" ht="22.5" customHeight="1">
      <c r="A218" s="50" t="s">
        <v>255</v>
      </c>
      <c r="B218" s="50" t="s">
        <v>61</v>
      </c>
      <c r="C218" s="102"/>
      <c r="D218" s="52">
        <v>45843.0</v>
      </c>
    </row>
    <row r="219" ht="22.5" customHeight="1">
      <c r="A219" s="50" t="s">
        <v>272</v>
      </c>
      <c r="B219" s="50" t="s">
        <v>438</v>
      </c>
      <c r="C219" s="102"/>
      <c r="D219" s="52">
        <v>45843.0</v>
      </c>
    </row>
    <row r="220" ht="22.5" customHeight="1">
      <c r="A220" s="50" t="s">
        <v>773</v>
      </c>
      <c r="B220" s="50" t="s">
        <v>69</v>
      </c>
      <c r="C220" s="102"/>
      <c r="D220" s="52">
        <v>45843.0</v>
      </c>
    </row>
    <row r="221" ht="22.5" customHeight="1">
      <c r="A221" s="50" t="s">
        <v>626</v>
      </c>
      <c r="B221" s="50" t="s">
        <v>34</v>
      </c>
      <c r="C221" s="102"/>
      <c r="D221" s="52">
        <v>45843.0</v>
      </c>
    </row>
    <row r="222" ht="22.5" customHeight="1">
      <c r="A222" s="50" t="s">
        <v>165</v>
      </c>
      <c r="B222" s="50" t="s">
        <v>14</v>
      </c>
      <c r="C222" s="102"/>
      <c r="D222" s="52">
        <v>45843.0</v>
      </c>
    </row>
    <row r="223" ht="22.5" customHeight="1">
      <c r="A223" s="50" t="s">
        <v>165</v>
      </c>
      <c r="B223" s="50" t="s">
        <v>120</v>
      </c>
      <c r="C223" s="102"/>
      <c r="D223" s="52">
        <v>45843.0</v>
      </c>
    </row>
    <row r="224" ht="22.5" customHeight="1">
      <c r="A224" s="50" t="s">
        <v>775</v>
      </c>
      <c r="B224" s="50" t="s">
        <v>3</v>
      </c>
      <c r="C224" s="102"/>
      <c r="D224" s="52">
        <v>45843.0</v>
      </c>
    </row>
    <row r="225" ht="22.5" customHeight="1">
      <c r="A225" s="50" t="s">
        <v>102</v>
      </c>
      <c r="B225" s="50" t="s">
        <v>120</v>
      </c>
      <c r="C225" s="102"/>
      <c r="D225" s="52">
        <v>45843.0</v>
      </c>
    </row>
    <row r="226" ht="22.5" customHeight="1">
      <c r="A226" s="50" t="s">
        <v>508</v>
      </c>
      <c r="B226" s="50" t="s">
        <v>438</v>
      </c>
      <c r="C226" s="102"/>
      <c r="D226" s="52">
        <v>45843.0</v>
      </c>
    </row>
    <row r="227" ht="22.5" customHeight="1">
      <c r="A227" s="50" t="s">
        <v>320</v>
      </c>
      <c r="B227" s="50" t="s">
        <v>741</v>
      </c>
      <c r="C227" s="102"/>
      <c r="D227" s="52">
        <v>45843.0</v>
      </c>
    </row>
    <row r="228" ht="22.5" customHeight="1">
      <c r="A228" s="50" t="s">
        <v>777</v>
      </c>
      <c r="B228" s="50" t="s">
        <v>3</v>
      </c>
      <c r="C228" s="102"/>
      <c r="D228" s="52">
        <v>45843.0</v>
      </c>
    </row>
    <row r="229" ht="22.5" customHeight="1">
      <c r="A229" s="50" t="s">
        <v>356</v>
      </c>
      <c r="B229" s="50" t="s">
        <v>582</v>
      </c>
      <c r="C229" s="102"/>
      <c r="D229" s="52">
        <v>45843.0</v>
      </c>
    </row>
    <row r="230" ht="22.5" customHeight="1">
      <c r="A230" s="50" t="s">
        <v>736</v>
      </c>
      <c r="B230" s="50" t="s">
        <v>779</v>
      </c>
      <c r="C230" s="102"/>
      <c r="D230" s="52">
        <v>45843.0</v>
      </c>
    </row>
    <row r="231" ht="22.5" customHeight="1">
      <c r="A231" s="50" t="s">
        <v>780</v>
      </c>
      <c r="B231" s="50" t="s">
        <v>741</v>
      </c>
      <c r="C231" s="102"/>
      <c r="D231" s="52">
        <v>45843.0</v>
      </c>
    </row>
    <row r="232" ht="22.5" customHeight="1">
      <c r="A232" s="50" t="s">
        <v>320</v>
      </c>
      <c r="B232" s="58" t="s">
        <v>52</v>
      </c>
      <c r="C232" s="102" t="s">
        <v>577</v>
      </c>
      <c r="D232" s="52">
        <v>45843.0</v>
      </c>
    </row>
    <row r="233" ht="22.5" customHeight="1">
      <c r="A233" s="80" t="s">
        <v>202</v>
      </c>
      <c r="B233" s="80" t="s">
        <v>67</v>
      </c>
      <c r="C233" s="129" t="s">
        <v>577</v>
      </c>
      <c r="D233" s="81">
        <v>45844.0</v>
      </c>
    </row>
    <row r="234" ht="22.5" customHeight="1">
      <c r="A234" s="80" t="s">
        <v>207</v>
      </c>
      <c r="B234" s="80" t="s">
        <v>125</v>
      </c>
      <c r="C234" s="130"/>
      <c r="D234" s="81">
        <v>45844.0</v>
      </c>
    </row>
    <row r="235" ht="22.5" customHeight="1">
      <c r="A235" s="80" t="s">
        <v>782</v>
      </c>
      <c r="B235" s="80" t="s">
        <v>120</v>
      </c>
      <c r="C235" s="130"/>
      <c r="D235" s="81">
        <v>45844.0</v>
      </c>
    </row>
    <row r="236" ht="22.5" customHeight="1">
      <c r="A236" s="80" t="s">
        <v>409</v>
      </c>
      <c r="B236" s="80" t="s">
        <v>180</v>
      </c>
      <c r="C236" s="130"/>
      <c r="D236" s="81">
        <v>45844.0</v>
      </c>
    </row>
    <row r="237" ht="22.5" customHeight="1">
      <c r="A237" s="80" t="s">
        <v>784</v>
      </c>
      <c r="B237" s="80" t="s">
        <v>31</v>
      </c>
      <c r="C237" s="130"/>
      <c r="D237" s="81">
        <v>45844.0</v>
      </c>
    </row>
    <row r="238" ht="22.5" customHeight="1">
      <c r="A238" s="80" t="s">
        <v>202</v>
      </c>
      <c r="B238" s="80" t="s">
        <v>582</v>
      </c>
      <c r="C238" s="130"/>
      <c r="D238" s="81">
        <v>45844.0</v>
      </c>
    </row>
    <row r="239" ht="22.5" customHeight="1">
      <c r="A239" s="80" t="s">
        <v>785</v>
      </c>
      <c r="B239" s="80" t="s">
        <v>48</v>
      </c>
      <c r="C239" s="130"/>
      <c r="D239" s="81">
        <v>45844.0</v>
      </c>
    </row>
    <row r="240" ht="22.5" customHeight="1">
      <c r="A240" s="80" t="s">
        <v>787</v>
      </c>
      <c r="B240" s="80" t="s">
        <v>125</v>
      </c>
      <c r="C240" s="130"/>
      <c r="D240" s="81">
        <v>45844.0</v>
      </c>
    </row>
    <row r="241" ht="22.5" customHeight="1">
      <c r="A241" s="80" t="s">
        <v>788</v>
      </c>
      <c r="B241" s="80" t="s">
        <v>125</v>
      </c>
      <c r="C241" s="130"/>
      <c r="D241" s="81">
        <v>45844.0</v>
      </c>
    </row>
    <row r="242" ht="22.5" customHeight="1">
      <c r="A242" s="80" t="s">
        <v>302</v>
      </c>
      <c r="B242" s="80" t="s">
        <v>131</v>
      </c>
      <c r="C242" s="130"/>
      <c r="D242" s="81">
        <v>45844.0</v>
      </c>
    </row>
  </sheetData>
  <dataValidations>
    <dataValidation type="list" allowBlank="1" sqref="C2:C242">
      <formula1>"Yes,Sort of?,Rolled,Unsure"</formula1>
    </dataValidation>
    <dataValidation type="custom" allowBlank="1" showDropDown="1" sqref="D2:D242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</cols>
  <sheetData>
    <row r="1" ht="22.5" customHeight="1">
      <c r="A1" s="116" t="s">
        <v>209</v>
      </c>
      <c r="B1" s="116" t="s">
        <v>616</v>
      </c>
      <c r="C1" s="116" t="s">
        <v>215</v>
      </c>
    </row>
    <row r="2" ht="22.5" customHeight="1">
      <c r="A2" s="117" t="s">
        <v>617</v>
      </c>
      <c r="B2" s="117" t="s">
        <v>54</v>
      </c>
      <c r="C2" s="118">
        <v>45773.0</v>
      </c>
    </row>
    <row r="3" ht="22.5" customHeight="1">
      <c r="A3" s="117" t="s">
        <v>618</v>
      </c>
      <c r="B3" s="117" t="s">
        <v>17</v>
      </c>
      <c r="C3" s="118">
        <v>45780.0</v>
      </c>
    </row>
    <row r="4" ht="22.5" customHeight="1">
      <c r="A4" s="117" t="s">
        <v>620</v>
      </c>
      <c r="B4" s="117" t="s">
        <v>61</v>
      </c>
      <c r="C4" s="118">
        <v>45801.0</v>
      </c>
    </row>
    <row r="5" ht="22.5" customHeight="1">
      <c r="A5" s="117" t="s">
        <v>622</v>
      </c>
      <c r="B5" s="117" t="s">
        <v>3</v>
      </c>
      <c r="C5" s="118">
        <v>45836.0</v>
      </c>
    </row>
    <row r="6" ht="22.5" customHeight="1">
      <c r="A6" s="117" t="s">
        <v>623</v>
      </c>
      <c r="B6" s="117" t="s">
        <v>3</v>
      </c>
      <c r="C6" s="118">
        <v>45836.0</v>
      </c>
    </row>
    <row r="7" ht="22.5" customHeight="1">
      <c r="A7" s="117" t="s">
        <v>624</v>
      </c>
      <c r="B7" s="117" t="s">
        <v>4</v>
      </c>
      <c r="C7" s="118">
        <v>45836.0</v>
      </c>
    </row>
    <row r="8" ht="22.5" customHeight="1">
      <c r="A8" s="90" t="s">
        <v>625</v>
      </c>
      <c r="B8" s="90" t="s">
        <v>40</v>
      </c>
      <c r="C8" s="91">
        <v>45858.0</v>
      </c>
    </row>
    <row r="9" ht="22.5" customHeight="1">
      <c r="A9" s="90" t="s">
        <v>624</v>
      </c>
      <c r="B9" s="90" t="s">
        <v>52</v>
      </c>
      <c r="C9" s="91">
        <v>45864.0</v>
      </c>
    </row>
    <row r="10" ht="22.5" customHeight="1">
      <c r="A10" s="90" t="s">
        <v>624</v>
      </c>
      <c r="B10" s="90" t="s">
        <v>467</v>
      </c>
      <c r="C10" s="91">
        <v>45864.0</v>
      </c>
    </row>
    <row r="11" ht="22.5" customHeight="1">
      <c r="A11" s="90" t="s">
        <v>627</v>
      </c>
      <c r="B11" s="90" t="s">
        <v>2</v>
      </c>
      <c r="C11" s="91">
        <v>45872.0</v>
      </c>
    </row>
    <row r="12" ht="22.5" customHeight="1">
      <c r="A12" s="90" t="s">
        <v>629</v>
      </c>
      <c r="B12" s="90" t="s">
        <v>124</v>
      </c>
      <c r="C12" s="91">
        <v>45892.0</v>
      </c>
    </row>
    <row r="13" ht="22.5" customHeight="1">
      <c r="A13" s="90" t="s">
        <v>630</v>
      </c>
      <c r="B13" s="90" t="s">
        <v>5</v>
      </c>
      <c r="C13" s="91">
        <v>45906.0</v>
      </c>
    </row>
    <row r="14" ht="22.5" customHeight="1">
      <c r="A14" s="90" t="s">
        <v>631</v>
      </c>
      <c r="B14" s="90" t="s">
        <v>37</v>
      </c>
      <c r="C14" s="91">
        <v>45920.0</v>
      </c>
    </row>
  </sheetData>
  <dataValidations>
    <dataValidation type="custom" allowBlank="1" showDropDown="1" sqref="C2:C14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9" t="s">
        <v>416</v>
      </c>
      <c r="B1" s="119" t="s">
        <v>536</v>
      </c>
      <c r="C1" s="119" t="s">
        <v>491</v>
      </c>
      <c r="D1" s="119" t="s">
        <v>465</v>
      </c>
      <c r="E1" s="119" t="s">
        <v>460</v>
      </c>
      <c r="F1" s="119" t="s">
        <v>316</v>
      </c>
      <c r="G1" s="119" t="s">
        <v>520</v>
      </c>
      <c r="H1" s="119" t="s">
        <v>82</v>
      </c>
      <c r="I1" s="119" t="s">
        <v>425</v>
      </c>
      <c r="J1" s="119" t="s">
        <v>309</v>
      </c>
      <c r="K1" s="119" t="s">
        <v>408</v>
      </c>
      <c r="L1" s="119" t="s">
        <v>172</v>
      </c>
      <c r="M1" s="120" t="s">
        <v>291</v>
      </c>
      <c r="N1" s="121" t="s">
        <v>638</v>
      </c>
    </row>
    <row r="2">
      <c r="A2" s="122" t="s">
        <v>639</v>
      </c>
      <c r="B2" s="122" t="s">
        <v>640</v>
      </c>
      <c r="C2" s="122" t="s">
        <v>641</v>
      </c>
      <c r="D2" s="122" t="s">
        <v>477</v>
      </c>
      <c r="E2" s="123" t="s">
        <v>462</v>
      </c>
      <c r="F2" s="122" t="s">
        <v>643</v>
      </c>
      <c r="G2" s="122" t="s">
        <v>524</v>
      </c>
      <c r="H2" s="122" t="s">
        <v>644</v>
      </c>
      <c r="I2" s="122" t="s">
        <v>441</v>
      </c>
      <c r="J2" s="122" t="s">
        <v>395</v>
      </c>
      <c r="K2" s="122" t="s">
        <v>411</v>
      </c>
      <c r="L2" s="122" t="s">
        <v>645</v>
      </c>
      <c r="M2" s="123" t="s">
        <v>295</v>
      </c>
      <c r="N2" s="124" t="s">
        <v>646</v>
      </c>
    </row>
    <row r="3">
      <c r="A3" s="125" t="s">
        <v>647</v>
      </c>
      <c r="B3" s="122" t="s">
        <v>537</v>
      </c>
      <c r="C3" s="122" t="s">
        <v>502</v>
      </c>
      <c r="D3" s="122" t="s">
        <v>649</v>
      </c>
      <c r="E3" s="123" t="s">
        <v>650</v>
      </c>
      <c r="F3" s="122" t="s">
        <v>651</v>
      </c>
      <c r="G3" s="122" t="s">
        <v>564</v>
      </c>
      <c r="H3" s="122" t="s">
        <v>449</v>
      </c>
      <c r="I3" s="122" t="s">
        <v>427</v>
      </c>
      <c r="J3" s="122" t="s">
        <v>373</v>
      </c>
      <c r="K3" s="122" t="s">
        <v>410</v>
      </c>
      <c r="L3" s="122" t="s">
        <v>245</v>
      </c>
      <c r="M3" s="122" t="s">
        <v>505</v>
      </c>
      <c r="N3" s="124" t="s">
        <v>652</v>
      </c>
    </row>
    <row r="4">
      <c r="A4" s="125" t="s">
        <v>653</v>
      </c>
      <c r="B4" s="126" t="s">
        <v>545</v>
      </c>
      <c r="C4" s="126" t="s">
        <v>654</v>
      </c>
      <c r="D4" s="122" t="s">
        <v>466</v>
      </c>
      <c r="E4" s="123" t="s">
        <v>655</v>
      </c>
      <c r="F4" s="126" t="s">
        <v>318</v>
      </c>
      <c r="G4" s="122" t="s">
        <v>534</v>
      </c>
      <c r="H4" s="122" t="s">
        <v>657</v>
      </c>
      <c r="I4" s="122" t="s">
        <v>658</v>
      </c>
      <c r="J4" s="122" t="s">
        <v>659</v>
      </c>
      <c r="K4" s="122" t="s">
        <v>660</v>
      </c>
      <c r="L4" s="122" t="s">
        <v>268</v>
      </c>
      <c r="M4" s="125" t="s">
        <v>661</v>
      </c>
      <c r="N4" s="61"/>
    </row>
    <row r="5">
      <c r="A5" s="125" t="s">
        <v>662</v>
      </c>
      <c r="B5" s="125" t="s">
        <v>663</v>
      </c>
      <c r="C5" s="125" t="s">
        <v>664</v>
      </c>
      <c r="D5" s="122" t="s">
        <v>481</v>
      </c>
      <c r="E5" s="123" t="s">
        <v>665</v>
      </c>
      <c r="F5" s="125" t="s">
        <v>667</v>
      </c>
      <c r="G5" s="125" t="s">
        <v>668</v>
      </c>
      <c r="H5" s="126" t="s">
        <v>92</v>
      </c>
      <c r="I5" s="122" t="s">
        <v>451</v>
      </c>
      <c r="J5" s="122" t="s">
        <v>669</v>
      </c>
      <c r="K5" s="126" t="s">
        <v>670</v>
      </c>
      <c r="L5" s="122" t="s">
        <v>222</v>
      </c>
      <c r="M5" s="125" t="s">
        <v>671</v>
      </c>
      <c r="N5" s="61"/>
    </row>
    <row r="6">
      <c r="A6" s="125" t="s">
        <v>672</v>
      </c>
      <c r="B6" s="126" t="s">
        <v>540</v>
      </c>
      <c r="C6" s="126" t="s">
        <v>493</v>
      </c>
      <c r="D6" s="122" t="s">
        <v>468</v>
      </c>
      <c r="E6" s="126" t="s">
        <v>673</v>
      </c>
      <c r="F6" s="126" t="s">
        <v>674</v>
      </c>
      <c r="G6" s="125" t="s">
        <v>675</v>
      </c>
      <c r="H6" s="122" t="s">
        <v>676</v>
      </c>
      <c r="I6" s="125" t="s">
        <v>678</v>
      </c>
      <c r="J6" s="122" t="s">
        <v>679</v>
      </c>
      <c r="K6" s="125" t="s">
        <v>680</v>
      </c>
      <c r="L6" s="122" t="s">
        <v>174</v>
      </c>
      <c r="M6" s="125" t="s">
        <v>681</v>
      </c>
      <c r="N6" s="61"/>
    </row>
    <row r="7">
      <c r="A7" s="126" t="s">
        <v>417</v>
      </c>
      <c r="B7" s="125" t="s">
        <v>682</v>
      </c>
      <c r="C7" s="126" t="s">
        <v>683</v>
      </c>
      <c r="D7" s="125" t="s">
        <v>684</v>
      </c>
      <c r="E7" s="125" t="s">
        <v>685</v>
      </c>
      <c r="F7" s="127"/>
      <c r="G7" s="125" t="s">
        <v>686</v>
      </c>
      <c r="H7" s="126" t="s">
        <v>160</v>
      </c>
      <c r="I7" s="125" t="s">
        <v>688</v>
      </c>
      <c r="J7" s="122" t="s">
        <v>689</v>
      </c>
      <c r="K7" s="126" t="s">
        <v>690</v>
      </c>
      <c r="L7" s="122" t="s">
        <v>233</v>
      </c>
      <c r="M7" s="125" t="s">
        <v>691</v>
      </c>
      <c r="N7" s="61"/>
    </row>
    <row r="8">
      <c r="A8" s="125" t="s">
        <v>692</v>
      </c>
      <c r="B8" s="127"/>
      <c r="C8" s="127"/>
      <c r="D8" s="126" t="s">
        <v>693</v>
      </c>
      <c r="E8" s="125" t="s">
        <v>694</v>
      </c>
      <c r="F8" s="127"/>
      <c r="G8" s="126" t="s">
        <v>522</v>
      </c>
      <c r="H8" s="127"/>
      <c r="I8" s="126" t="s">
        <v>457</v>
      </c>
      <c r="J8" s="122" t="s">
        <v>400</v>
      </c>
      <c r="K8" s="125" t="s">
        <v>695</v>
      </c>
      <c r="L8" s="122" t="s">
        <v>257</v>
      </c>
      <c r="M8" s="125" t="s">
        <v>696</v>
      </c>
      <c r="N8" s="61"/>
    </row>
    <row r="9">
      <c r="A9" s="127"/>
      <c r="B9" s="127"/>
      <c r="C9" s="127"/>
      <c r="D9" s="125" t="s">
        <v>697</v>
      </c>
      <c r="E9" s="125" t="s">
        <v>698</v>
      </c>
      <c r="F9" s="127"/>
      <c r="G9" s="125" t="s">
        <v>699</v>
      </c>
      <c r="H9" s="127"/>
      <c r="I9" s="125" t="s">
        <v>700</v>
      </c>
      <c r="J9" s="122" t="s">
        <v>701</v>
      </c>
      <c r="K9" s="125" t="s">
        <v>702</v>
      </c>
      <c r="L9" s="127"/>
      <c r="M9" s="125" t="s">
        <v>703</v>
      </c>
      <c r="N9" s="61"/>
    </row>
    <row r="10">
      <c r="A10" s="127"/>
      <c r="B10" s="127"/>
      <c r="C10" s="127"/>
      <c r="D10" s="125" t="s">
        <v>704</v>
      </c>
      <c r="E10" s="125" t="s">
        <v>705</v>
      </c>
      <c r="F10" s="127"/>
      <c r="G10" s="127"/>
      <c r="H10" s="127"/>
      <c r="I10" s="125" t="s">
        <v>706</v>
      </c>
      <c r="J10" s="122" t="s">
        <v>707</v>
      </c>
      <c r="K10" s="127"/>
      <c r="L10" s="127"/>
      <c r="M10" s="123" t="s">
        <v>708</v>
      </c>
      <c r="N10" s="61"/>
    </row>
    <row r="11">
      <c r="A11" s="127"/>
      <c r="B11" s="127"/>
      <c r="C11" s="127"/>
      <c r="D11" s="125" t="s">
        <v>709</v>
      </c>
      <c r="E11" s="125" t="s">
        <v>710</v>
      </c>
      <c r="F11" s="127"/>
      <c r="G11" s="127"/>
      <c r="H11" s="127"/>
      <c r="I11" s="125" t="s">
        <v>711</v>
      </c>
      <c r="J11" s="122" t="s">
        <v>323</v>
      </c>
      <c r="K11" s="127"/>
      <c r="L11" s="127"/>
      <c r="M11" s="122" t="s">
        <v>712</v>
      </c>
      <c r="N11" s="61"/>
    </row>
    <row r="12">
      <c r="A12" s="127"/>
      <c r="B12" s="127"/>
      <c r="C12" s="127"/>
      <c r="D12" s="126" t="s">
        <v>713</v>
      </c>
      <c r="E12" s="125" t="s">
        <v>714</v>
      </c>
      <c r="F12" s="127"/>
      <c r="G12" s="127"/>
      <c r="H12" s="127"/>
      <c r="I12" s="125" t="s">
        <v>715</v>
      </c>
      <c r="J12" s="122" t="s">
        <v>555</v>
      </c>
      <c r="K12" s="127"/>
      <c r="L12" s="127"/>
      <c r="M12" s="122" t="s">
        <v>716</v>
      </c>
      <c r="N12" s="61"/>
    </row>
    <row r="13">
      <c r="A13" s="127"/>
      <c r="B13" s="127"/>
      <c r="C13" s="127"/>
      <c r="D13" s="126" t="s">
        <v>476</v>
      </c>
      <c r="E13" s="125" t="s">
        <v>717</v>
      </c>
      <c r="F13" s="127"/>
      <c r="G13" s="127"/>
      <c r="H13" s="127"/>
      <c r="I13" s="125" t="s">
        <v>718</v>
      </c>
      <c r="J13" s="122" t="s">
        <v>719</v>
      </c>
      <c r="K13" s="127"/>
      <c r="L13" s="127"/>
      <c r="M13" s="125" t="s">
        <v>720</v>
      </c>
      <c r="N13" s="61"/>
    </row>
    <row r="14">
      <c r="A14" s="127"/>
      <c r="B14" s="127"/>
      <c r="C14" s="127"/>
      <c r="D14" s="126" t="s">
        <v>483</v>
      </c>
      <c r="E14" s="127"/>
      <c r="F14" s="127"/>
      <c r="G14" s="127"/>
      <c r="H14" s="127"/>
      <c r="I14" s="127"/>
      <c r="J14" s="122" t="s">
        <v>348</v>
      </c>
      <c r="K14" s="127"/>
      <c r="L14" s="127"/>
      <c r="M14" s="125" t="s">
        <v>511</v>
      </c>
      <c r="N14" s="61"/>
    </row>
    <row r="15">
      <c r="A15" s="127"/>
      <c r="B15" s="127"/>
      <c r="C15" s="127"/>
      <c r="D15" s="127"/>
      <c r="E15" s="127"/>
      <c r="F15" s="127"/>
      <c r="G15" s="127"/>
      <c r="H15" s="127"/>
      <c r="I15" s="127"/>
      <c r="J15" s="122" t="s">
        <v>723</v>
      </c>
      <c r="K15" s="127"/>
      <c r="L15" s="127"/>
      <c r="M15" s="125" t="s">
        <v>724</v>
      </c>
      <c r="N15" s="61"/>
    </row>
    <row r="16">
      <c r="A16" s="127"/>
      <c r="B16" s="127"/>
      <c r="C16" s="127"/>
      <c r="D16" s="127"/>
      <c r="E16" s="127"/>
      <c r="F16" s="127"/>
      <c r="G16" s="127"/>
      <c r="H16" s="127"/>
      <c r="I16" s="127"/>
      <c r="J16" s="122" t="s">
        <v>310</v>
      </c>
      <c r="K16" s="127"/>
      <c r="L16" s="127"/>
      <c r="M16" s="125" t="s">
        <v>725</v>
      </c>
      <c r="N16" s="61"/>
    </row>
    <row r="17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5" t="s">
        <v>726</v>
      </c>
      <c r="N17" s="61"/>
    </row>
    <row r="18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5" t="s">
        <v>727</v>
      </c>
      <c r="N18" s="61"/>
    </row>
    <row r="19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5" t="s">
        <v>728</v>
      </c>
      <c r="N19" s="61"/>
    </row>
    <row r="20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5" t="s">
        <v>730</v>
      </c>
      <c r="N20" s="61"/>
    </row>
    <row r="2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</row>
    <row r="22">
      <c r="A22" s="61" t="s">
        <v>731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</row>
    <row r="23">
      <c r="A23" s="61" t="s">
        <v>733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</row>
    <row r="24">
      <c r="A24" s="61" t="s">
        <v>734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</row>
    <row r="25">
      <c r="A25" s="61" t="s">
        <v>735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3.13"/>
    <col customWidth="1" min="3" max="3" width="22.13"/>
  </cols>
  <sheetData>
    <row r="1">
      <c r="A1" s="15" t="s">
        <v>24</v>
      </c>
      <c r="B1" s="15" t="s">
        <v>209</v>
      </c>
      <c r="C1" s="15" t="s">
        <v>30</v>
      </c>
      <c r="D1" s="15" t="s">
        <v>737</v>
      </c>
      <c r="E1" s="31" t="s">
        <v>738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 t="s">
        <v>510</v>
      </c>
      <c r="B2" s="15" t="s">
        <v>739</v>
      </c>
      <c r="C2" s="15" t="s">
        <v>740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 t="s">
        <v>170</v>
      </c>
      <c r="B3" s="15" t="s">
        <v>174</v>
      </c>
      <c r="C3" s="15" t="s">
        <v>172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 t="s">
        <v>180</v>
      </c>
      <c r="B4" s="15" t="s">
        <v>742</v>
      </c>
      <c r="C4" s="15" t="s">
        <v>172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 t="s">
        <v>86</v>
      </c>
      <c r="B5" s="15" t="s">
        <v>222</v>
      </c>
      <c r="C5" s="15" t="s">
        <v>172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 t="s">
        <v>48</v>
      </c>
      <c r="B6" s="15" t="s">
        <v>222</v>
      </c>
      <c r="C6" s="15" t="s">
        <v>172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 t="s">
        <v>243</v>
      </c>
      <c r="B7" s="15" t="s">
        <v>744</v>
      </c>
      <c r="C7" s="15" t="s">
        <v>172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 t="s">
        <v>26</v>
      </c>
      <c r="B8" s="15" t="s">
        <v>174</v>
      </c>
      <c r="C8" s="15" t="s">
        <v>172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 t="s">
        <v>29</v>
      </c>
      <c r="B9" s="15" t="s">
        <v>745</v>
      </c>
      <c r="C9" s="15" t="s">
        <v>172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 t="s">
        <v>258</v>
      </c>
      <c r="B10" s="31" t="s">
        <v>747</v>
      </c>
      <c r="C10" s="15" t="s">
        <v>172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1" t="s">
        <v>191</v>
      </c>
      <c r="B11" s="31" t="s">
        <v>174</v>
      </c>
      <c r="C11" s="31" t="s">
        <v>172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 t="s">
        <v>84</v>
      </c>
      <c r="B12" s="15" t="s">
        <v>742</v>
      </c>
      <c r="C12" s="15" t="s">
        <v>172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1" t="s">
        <v>267</v>
      </c>
      <c r="B13" s="31" t="s">
        <v>268</v>
      </c>
      <c r="C13" s="31" t="s">
        <v>172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31" t="s">
        <v>191</v>
      </c>
      <c r="B14" s="31" t="s">
        <v>174</v>
      </c>
      <c r="C14" s="31" t="s">
        <v>172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 t="s">
        <v>289</v>
      </c>
      <c r="B15" s="31" t="s">
        <v>222</v>
      </c>
      <c r="C15" s="31" t="s">
        <v>172</v>
      </c>
      <c r="D15" s="128"/>
      <c r="E15" s="31" t="s">
        <v>43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31" t="s">
        <v>301</v>
      </c>
      <c r="B16" s="31" t="s">
        <v>749</v>
      </c>
      <c r="C16" s="31" t="s">
        <v>172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1" t="s">
        <v>219</v>
      </c>
      <c r="B17" s="31" t="s">
        <v>174</v>
      </c>
      <c r="C17" s="31" t="s">
        <v>172</v>
      </c>
      <c r="D17" s="3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31" t="s">
        <v>97</v>
      </c>
      <c r="B18" s="31" t="s">
        <v>245</v>
      </c>
      <c r="C18" s="31" t="s">
        <v>172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1" t="s">
        <v>228</v>
      </c>
      <c r="B19" s="31" t="s">
        <v>752</v>
      </c>
      <c r="C19" s="31" t="s">
        <v>172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 t="s">
        <v>415</v>
      </c>
      <c r="B20" s="15" t="s">
        <v>417</v>
      </c>
      <c r="C20" s="15" t="s">
        <v>753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 t="s">
        <v>79</v>
      </c>
      <c r="B21" s="15" t="s">
        <v>417</v>
      </c>
      <c r="C21" s="15" t="s">
        <v>753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 t="s">
        <v>34</v>
      </c>
      <c r="B22" s="31" t="s">
        <v>295</v>
      </c>
      <c r="C22" s="31" t="s">
        <v>295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 t="s">
        <v>276</v>
      </c>
      <c r="B23" s="15" t="s">
        <v>505</v>
      </c>
      <c r="C23" s="15" t="s">
        <v>505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 t="s">
        <v>506</v>
      </c>
      <c r="B24" s="15" t="s">
        <v>505</v>
      </c>
      <c r="C24" s="15" t="s">
        <v>505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 t="s">
        <v>5</v>
      </c>
      <c r="B25" s="15" t="s">
        <v>661</v>
      </c>
      <c r="C25" s="15" t="s">
        <v>756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 t="s">
        <v>314</v>
      </c>
      <c r="B26" s="15" t="s">
        <v>757</v>
      </c>
      <c r="C26" s="15" t="s">
        <v>316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 t="s">
        <v>54</v>
      </c>
      <c r="B27" s="15" t="s">
        <v>348</v>
      </c>
      <c r="C27" s="15" t="s">
        <v>309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 t="s">
        <v>40</v>
      </c>
      <c r="B28" s="15" t="s">
        <v>427</v>
      </c>
      <c r="C28" s="15" t="s">
        <v>309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 t="s">
        <v>73</v>
      </c>
      <c r="B29" s="15" t="s">
        <v>323</v>
      </c>
      <c r="C29" s="15" t="s">
        <v>309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 t="s">
        <v>69</v>
      </c>
      <c r="B30" s="15" t="s">
        <v>373</v>
      </c>
      <c r="C30" s="15" t="s">
        <v>309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 t="s">
        <v>351</v>
      </c>
      <c r="B31" s="31" t="s">
        <v>348</v>
      </c>
      <c r="C31" s="15" t="s">
        <v>309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 t="s">
        <v>328</v>
      </c>
      <c r="B32" s="15" t="s">
        <v>323</v>
      </c>
      <c r="C32" s="15" t="s">
        <v>309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 t="s">
        <v>355</v>
      </c>
      <c r="B33" s="15" t="s">
        <v>348</v>
      </c>
      <c r="C33" s="15" t="s">
        <v>309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31" t="s">
        <v>394</v>
      </c>
      <c r="B34" s="31" t="s">
        <v>395</v>
      </c>
      <c r="C34" s="31" t="s">
        <v>309</v>
      </c>
      <c r="D34" s="3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31" t="s">
        <v>403</v>
      </c>
      <c r="B35" s="31" t="s">
        <v>762</v>
      </c>
      <c r="C35" s="31" t="s">
        <v>309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31" t="s">
        <v>333</v>
      </c>
      <c r="B36" s="31" t="s">
        <v>323</v>
      </c>
      <c r="C36" s="31" t="s">
        <v>309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 t="s">
        <v>377</v>
      </c>
      <c r="B37" s="15" t="s">
        <v>373</v>
      </c>
      <c r="C37" s="15" t="s">
        <v>309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 t="s">
        <v>398</v>
      </c>
      <c r="B38" s="15" t="s">
        <v>400</v>
      </c>
      <c r="C38" s="15" t="s">
        <v>309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 t="s">
        <v>93</v>
      </c>
      <c r="B39" s="15" t="s">
        <v>766</v>
      </c>
      <c r="C39" s="15" t="s">
        <v>309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 t="s">
        <v>89</v>
      </c>
      <c r="B40" s="15" t="s">
        <v>348</v>
      </c>
      <c r="C40" s="15" t="s">
        <v>309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31" t="s">
        <v>382</v>
      </c>
      <c r="B41" s="31" t="s">
        <v>373</v>
      </c>
      <c r="C41" s="31" t="s">
        <v>309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31" t="s">
        <v>389</v>
      </c>
      <c r="B42" s="31" t="s">
        <v>373</v>
      </c>
      <c r="C42" s="31" t="s">
        <v>309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 t="s">
        <v>366</v>
      </c>
      <c r="B43" s="15" t="s">
        <v>348</v>
      </c>
      <c r="C43" s="15" t="s">
        <v>309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 t="s">
        <v>307</v>
      </c>
      <c r="B44" s="15" t="s">
        <v>222</v>
      </c>
      <c r="C44" s="15" t="s">
        <v>309</v>
      </c>
      <c r="D44" s="31"/>
      <c r="E44" s="31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31" t="s">
        <v>392</v>
      </c>
      <c r="B45" s="31" t="s">
        <v>373</v>
      </c>
      <c r="C45" s="31" t="s">
        <v>309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 t="s">
        <v>59</v>
      </c>
      <c r="B46" s="31" t="s">
        <v>323</v>
      </c>
      <c r="C46" s="31" t="s">
        <v>309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31" t="s">
        <v>339</v>
      </c>
      <c r="B47" s="31" t="s">
        <v>410</v>
      </c>
      <c r="C47" s="31" t="s">
        <v>408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 t="s">
        <v>68</v>
      </c>
      <c r="B48" s="15" t="s">
        <v>295</v>
      </c>
      <c r="C48" s="15" t="s">
        <v>295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 t="s">
        <v>517</v>
      </c>
      <c r="B49" s="15" t="s">
        <v>295</v>
      </c>
      <c r="C49" s="15" t="s">
        <v>295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 t="s">
        <v>109</v>
      </c>
      <c r="B50" s="15" t="s">
        <v>295</v>
      </c>
      <c r="C50" s="15" t="s">
        <v>295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 t="s">
        <v>44</v>
      </c>
      <c r="B51" s="15" t="s">
        <v>295</v>
      </c>
      <c r="C51" s="15" t="s">
        <v>295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 t="s">
        <v>42</v>
      </c>
      <c r="B52" s="31" t="s">
        <v>295</v>
      </c>
      <c r="C52" s="31" t="s">
        <v>295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 t="s">
        <v>27</v>
      </c>
      <c r="B53" s="31" t="s">
        <v>505</v>
      </c>
      <c r="C53" s="31" t="s">
        <v>505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 t="s">
        <v>456</v>
      </c>
      <c r="B54" s="15" t="s">
        <v>457</v>
      </c>
      <c r="C54" s="15" t="s">
        <v>425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 t="s">
        <v>2</v>
      </c>
      <c r="B55" s="31" t="s">
        <v>700</v>
      </c>
      <c r="C55" s="15" t="s">
        <v>425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 t="s">
        <v>88</v>
      </c>
      <c r="B56" s="15" t="s">
        <v>427</v>
      </c>
      <c r="C56" s="15" t="s">
        <v>425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 t="s">
        <v>450</v>
      </c>
      <c r="B57" s="15" t="s">
        <v>774</v>
      </c>
      <c r="C57" s="15" t="s">
        <v>425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 t="s">
        <v>440</v>
      </c>
      <c r="B58" s="15" t="s">
        <v>776</v>
      </c>
      <c r="C58" s="15" t="s">
        <v>425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31" t="s">
        <v>381</v>
      </c>
      <c r="B59" s="31" t="s">
        <v>441</v>
      </c>
      <c r="C59" s="31" t="s">
        <v>425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 t="s">
        <v>438</v>
      </c>
      <c r="B60" s="15" t="s">
        <v>427</v>
      </c>
      <c r="C60" s="15" t="s">
        <v>425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 t="s">
        <v>445</v>
      </c>
      <c r="B61" s="15" t="s">
        <v>441</v>
      </c>
      <c r="C61" s="15" t="s">
        <v>425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 t="s">
        <v>448</v>
      </c>
      <c r="B62" s="15" t="s">
        <v>441</v>
      </c>
      <c r="C62" s="15" t="s">
        <v>425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 t="s">
        <v>36</v>
      </c>
      <c r="B63" s="15" t="s">
        <v>778</v>
      </c>
      <c r="C63" s="15" t="s">
        <v>425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31" t="s">
        <v>442</v>
      </c>
      <c r="B64" s="31" t="s">
        <v>441</v>
      </c>
      <c r="C64" s="31" t="s">
        <v>425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 t="s">
        <v>14</v>
      </c>
      <c r="B65" s="15" t="s">
        <v>457</v>
      </c>
      <c r="C65" s="15" t="s">
        <v>425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 t="s">
        <v>509</v>
      </c>
      <c r="B66" s="31" t="s">
        <v>505</v>
      </c>
      <c r="C66" s="31" t="s">
        <v>505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 t="s">
        <v>386</v>
      </c>
      <c r="B67" s="15" t="s">
        <v>460</v>
      </c>
      <c r="C67" s="15" t="s">
        <v>460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 t="s">
        <v>7</v>
      </c>
      <c r="B68" s="15" t="s">
        <v>460</v>
      </c>
      <c r="C68" s="15" t="s">
        <v>460</v>
      </c>
      <c r="D68" s="15"/>
      <c r="E68" s="15" t="s">
        <v>43</v>
      </c>
      <c r="F68" s="15" t="s">
        <v>41</v>
      </c>
      <c r="G68" s="31" t="s">
        <v>38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 t="s">
        <v>56</v>
      </c>
      <c r="B69" s="15" t="s">
        <v>411</v>
      </c>
      <c r="C69" s="15" t="s">
        <v>781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 t="s">
        <v>146</v>
      </c>
      <c r="B70" s="15" t="s">
        <v>160</v>
      </c>
      <c r="C70" s="15" t="s">
        <v>783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 t="s">
        <v>51</v>
      </c>
      <c r="B71" s="31" t="s">
        <v>295</v>
      </c>
      <c r="C71" s="31" t="s">
        <v>295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 t="s">
        <v>32</v>
      </c>
      <c r="B72" s="15" t="s">
        <v>92</v>
      </c>
      <c r="C72" s="15" t="s">
        <v>783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 t="s">
        <v>158</v>
      </c>
      <c r="B73" s="15" t="s">
        <v>160</v>
      </c>
      <c r="C73" s="15" t="s">
        <v>783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 t="s">
        <v>122</v>
      </c>
      <c r="B74" s="15" t="s">
        <v>786</v>
      </c>
      <c r="C74" s="15" t="s">
        <v>783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 t="s">
        <v>136</v>
      </c>
      <c r="B75" s="15" t="s">
        <v>92</v>
      </c>
      <c r="C75" s="15" t="s">
        <v>783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 t="s">
        <v>467</v>
      </c>
      <c r="B76" s="15" t="s">
        <v>468</v>
      </c>
      <c r="C76" s="15" t="s">
        <v>789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31" t="s">
        <v>546</v>
      </c>
      <c r="B77" s="31" t="s">
        <v>790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 t="s">
        <v>471</v>
      </c>
      <c r="B78" s="15" t="s">
        <v>468</v>
      </c>
      <c r="C78" s="15" t="s">
        <v>789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 t="s">
        <v>62</v>
      </c>
      <c r="B79" s="15" t="s">
        <v>791</v>
      </c>
      <c r="C79" s="15" t="s">
        <v>789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 t="s">
        <v>175</v>
      </c>
      <c r="B80" s="15" t="s">
        <v>483</v>
      </c>
      <c r="C80" s="15" t="s">
        <v>789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 t="s">
        <v>49</v>
      </c>
      <c r="B81" s="15" t="s">
        <v>476</v>
      </c>
      <c r="C81" s="15" t="s">
        <v>789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 t="s">
        <v>480</v>
      </c>
      <c r="B82" s="15" t="s">
        <v>792</v>
      </c>
      <c r="C82" s="15" t="s">
        <v>789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 t="s">
        <v>485</v>
      </c>
      <c r="B83" s="15" t="s">
        <v>483</v>
      </c>
      <c r="C83" s="15" t="s">
        <v>789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 t="s">
        <v>39</v>
      </c>
      <c r="B84" s="15" t="s">
        <v>791</v>
      </c>
      <c r="C84" s="15" t="s">
        <v>789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31" t="s">
        <v>305</v>
      </c>
      <c r="B85" s="31" t="s">
        <v>466</v>
      </c>
      <c r="C85" s="31" t="s">
        <v>789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31" t="s">
        <v>463</v>
      </c>
      <c r="B86" s="31" t="s">
        <v>468</v>
      </c>
      <c r="C86" s="31" t="s">
        <v>789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 t="s">
        <v>548</v>
      </c>
      <c r="B87" s="15" t="s">
        <v>549</v>
      </c>
      <c r="C87" s="15" t="s">
        <v>793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 t="s">
        <v>488</v>
      </c>
      <c r="B88" s="15" t="s">
        <v>483</v>
      </c>
      <c r="C88" s="31" t="s">
        <v>789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 t="s">
        <v>539</v>
      </c>
      <c r="B89" s="15" t="s">
        <v>540</v>
      </c>
      <c r="C89" s="15" t="s">
        <v>794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 t="s">
        <v>542</v>
      </c>
      <c r="B90" s="31" t="s">
        <v>540</v>
      </c>
      <c r="C90" s="31" t="s">
        <v>794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 t="s">
        <v>71</v>
      </c>
      <c r="B91" s="15" t="s">
        <v>502</v>
      </c>
      <c r="C91" s="15" t="s">
        <v>795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 t="s">
        <v>70</v>
      </c>
      <c r="B92" s="15" t="s">
        <v>493</v>
      </c>
      <c r="C92" s="15" t="s">
        <v>795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 t="s">
        <v>495</v>
      </c>
      <c r="B93" s="15" t="s">
        <v>493</v>
      </c>
      <c r="C93" s="15" t="s">
        <v>795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 t="s">
        <v>374</v>
      </c>
      <c r="B94" s="15" t="s">
        <v>493</v>
      </c>
      <c r="C94" s="31" t="s">
        <v>795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31" t="s">
        <v>406</v>
      </c>
      <c r="B95" s="31" t="s">
        <v>493</v>
      </c>
      <c r="C95" s="31" t="s">
        <v>795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 t="s">
        <v>519</v>
      </c>
      <c r="B96" s="15" t="s">
        <v>522</v>
      </c>
      <c r="C96" s="15" t="s">
        <v>520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 t="s">
        <v>66</v>
      </c>
      <c r="B97" s="15" t="s">
        <v>534</v>
      </c>
      <c r="C97" s="15" t="s">
        <v>796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 t="s">
        <v>9</v>
      </c>
      <c r="B98" s="15" t="s">
        <v>797</v>
      </c>
      <c r="C98" s="15" t="s">
        <v>796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 t="s">
        <v>23</v>
      </c>
      <c r="B99" s="15" t="s">
        <v>797</v>
      </c>
      <c r="C99" s="15" t="s">
        <v>796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 t="s">
        <v>94</v>
      </c>
      <c r="B100" s="15" t="s">
        <v>797</v>
      </c>
      <c r="C100" s="15" t="s">
        <v>796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 t="s">
        <v>18</v>
      </c>
      <c r="B101" s="15" t="s">
        <v>534</v>
      </c>
      <c r="C101" s="15" t="s">
        <v>796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 t="s">
        <v>527</v>
      </c>
      <c r="B102" s="15" t="s">
        <v>797</v>
      </c>
      <c r="C102" s="15" t="s">
        <v>796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 t="s">
        <v>124</v>
      </c>
      <c r="B103" s="15" t="s">
        <v>797</v>
      </c>
      <c r="C103" s="15" t="s">
        <v>796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 t="s">
        <v>46</v>
      </c>
      <c r="B104" s="15" t="s">
        <v>797</v>
      </c>
      <c r="C104" s="15" t="s">
        <v>796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 t="s">
        <v>200</v>
      </c>
      <c r="B105" s="15" t="s">
        <v>797</v>
      </c>
      <c r="C105" s="15" t="s">
        <v>796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 t="s">
        <v>378</v>
      </c>
      <c r="B106" s="15" t="s">
        <v>522</v>
      </c>
      <c r="C106" s="15" t="s">
        <v>796</v>
      </c>
      <c r="D106" s="31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 t="s">
        <v>357</v>
      </c>
      <c r="B107" s="31" t="s">
        <v>545</v>
      </c>
      <c r="C107" s="31" t="s">
        <v>536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 t="s">
        <v>535</v>
      </c>
      <c r="B108" s="15" t="s">
        <v>537</v>
      </c>
      <c r="C108" s="15" t="s">
        <v>536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 t="s">
        <v>543</v>
      </c>
      <c r="B109" s="15" t="s">
        <v>540</v>
      </c>
      <c r="C109" s="15" t="s">
        <v>536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 t="s">
        <v>544</v>
      </c>
      <c r="B110" s="15" t="s">
        <v>540</v>
      </c>
      <c r="C110" s="15" t="s">
        <v>536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31" t="s">
        <v>500</v>
      </c>
      <c r="B111" s="31" t="s">
        <v>493</v>
      </c>
      <c r="C111" s="31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31"/>
      <c r="B112" s="31"/>
      <c r="C112" s="31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31"/>
      <c r="B113" s="31"/>
      <c r="C113" s="31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31"/>
      <c r="B114" s="31"/>
      <c r="C114" s="31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31"/>
      <c r="B115" s="31"/>
      <c r="C115" s="31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31"/>
      <c r="B116" s="31"/>
      <c r="C116" s="31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31"/>
      <c r="B117" s="31"/>
      <c r="C117" s="31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31"/>
      <c r="B118" s="31"/>
      <c r="C118" s="31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31"/>
      <c r="B119" s="31"/>
      <c r="C119" s="31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31"/>
      <c r="B120" s="31"/>
      <c r="C120" s="31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31"/>
      <c r="B121" s="31"/>
      <c r="C121" s="31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31"/>
      <c r="B122" s="31"/>
      <c r="C122" s="31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31"/>
      <c r="B123" s="31"/>
      <c r="C123" s="31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31"/>
      <c r="B124" s="31"/>
      <c r="C124" s="31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31"/>
      <c r="B125" s="31"/>
      <c r="C125" s="31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31"/>
      <c r="B126" s="31"/>
      <c r="C126" s="31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31"/>
      <c r="B127" s="31"/>
      <c r="C127" s="31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31"/>
      <c r="B128" s="31"/>
      <c r="C128" s="31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31"/>
      <c r="B129" s="31"/>
      <c r="C129" s="31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</sheetData>
  <drawing r:id="rId1"/>
</worksheet>
</file>